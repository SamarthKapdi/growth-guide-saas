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Assumptions" state="visible" r:id="rId5"/>
    <sheet sheetId="3" name="Adoption Model" state="visible" r:id="rId6"/>
    <sheet sheetId="4" name="AI and Infrastructure Cost" state="visible" r:id="rId7"/>
    <sheet sheetId="5" name="Revenue and Margin" state="visible" r:id="rId8"/>
    <sheet sheetId="6" name="Scenarios" state="visible" r:id="rId9"/>
    <sheet sheetId="7" name="Monthly Audit" state="visible" r:id="rId10"/>
    <sheet sheetId="8" name="Sources" state="visible" r:id="rId11"/>
  </sheets>
  <calcPr calcId="171027"/>
</workbook>
</file>

<file path=xl/sharedStrings.xml><?xml version="1.0" encoding="utf-8"?>
<sst xmlns="http://schemas.openxmlformats.org/spreadsheetml/2006/main" count="357" uniqueCount="273">
  <si>
    <t>Cheerio Growth Guide — Unit Economics &amp; Adoption Model</t>
  </si>
  <si>
    <t>Financial Projections, Token Economics, Infrastructure Sizing &amp; Retention Impact</t>
  </si>
  <si>
    <t>Document Version</t>
  </si>
  <si>
    <t>1.0 (Production Candidate)</t>
  </si>
  <si>
    <t>Author</t>
  </si>
  <si>
    <t>Cheerio AI Product Intern Candidate</t>
  </si>
  <si>
    <t>Scope</t>
  </si>
  <si>
    <t>12-Month Rolling Projections for Cheerio Growth Guide (5,000 Starting Active Businesses)</t>
  </si>
  <si>
    <t>Currency</t>
  </si>
  <si>
    <t>Indian Rupee (INR - ₹) with USD conversion for API token rates</t>
  </si>
  <si>
    <t>Central Objective</t>
  </si>
  <si>
    <t>Model unit economics, AI token costs, infrastructure overhead, and retention-driven revenue.</t>
  </si>
  <si>
    <t>WORKBOOK NAVIGATION</t>
  </si>
  <si>
    <t>1. Read Me</t>
  </si>
  <si>
    <t>Overview, model structure, methodology and usage instructions.</t>
  </si>
  <si>
    <t>2. Assumptions</t>
  </si>
  <si>
    <t>Centralized, editable inputs for cohort sizing, conversion rates, AI pricing, and infrastructure.</t>
  </si>
  <si>
    <t>3. Adoption Model</t>
  </si>
  <si>
    <t>12-month adoption funnel: reach, engagement, feature activations, and meaningful use cohorts.</t>
  </si>
  <si>
    <t>4. AI &amp; Infra Cost</t>
  </si>
  <si>
    <t>Token consumption, OpenAI GPT-4o-mini API fees, cloud hosting, and cost per activation.</t>
  </si>
  <si>
    <t>5. Revenue &amp; Margin</t>
  </si>
  <si>
    <t>Expected-value retention revenue, net modeled benefit, and contribution margins.</t>
  </si>
  <si>
    <t>6. Scenarios</t>
  </si>
  <si>
    <t>Conservative, Base, and Optimistic cases with multidimensional sensitivity matrices.</t>
  </si>
  <si>
    <t>7. Monthly Audit</t>
  </si>
  <si>
    <t>Formula-driven reconciliation checks ensuring model consistency and preventing double-counting.</t>
  </si>
  <si>
    <t>8. Sources</t>
  </si>
  <si>
    <t>Verified benchmark sources, official API pricing references, and model disclaimers.</t>
  </si>
  <si>
    <t>METHODOLOGY &amp; GUARDRAILS</t>
  </si>
  <si>
    <t>Expected-Value Basis</t>
  </si>
  <si>
    <t>Retention revenue = Adopting Businesses × Hypothesized Retention Lift in pp × Monthly Plan ARPU.</t>
  </si>
  <si>
    <t>No Double-Counting</t>
  </si>
  <si>
    <t>Revenue is tied strictly to newly retained cohorts without compounding previously credited gains.</t>
  </si>
  <si>
    <t>Illustrative Nature</t>
  </si>
  <si>
    <t>All retention lifts (+2.0 pp baseline) represent testable hypotheses subject to 2-week baseline validation.</t>
  </si>
  <si>
    <t>Run-Rate Annualization</t>
  </si>
  <si>
    <t>Exit ARR (₹26,27,124) is compared against Annualized Month-12 Cost (₹14,21,016), yielding Exit Net Benefit ₹12,06,108 (45.9% margin), distinct from Year-1 in-period cash flow (+₹1,67,881 net, 11.4% margin).</t>
  </si>
  <si>
    <t>Hosting Cost Attribution</t>
  </si>
  <si>
    <t>Base model allocates full-platform cloud hosting (₹10,05,870) across all 67,058 account-months as a conservative stress test. Incremental feature-only allocation yields &gt;80% margin. Platform hosting must not be double-counted against baseline WhatsApp campaign P&amp;Ls.</t>
  </si>
  <si>
    <t>Model Assumptions &amp; Central Input Parameters</t>
  </si>
  <si>
    <t>Cells highlighted in Light Blue represent editable baseline inputs. All other tabs dynamically reference this table.</t>
  </si>
  <si>
    <t/>
  </si>
  <si>
    <t>Parameter Name</t>
  </si>
  <si>
    <t>Value</t>
  </si>
  <si>
    <t>Unit</t>
  </si>
  <si>
    <t>Source &amp; Notes</t>
  </si>
  <si>
    <t>1. Business Baseline Cohort</t>
  </si>
  <si>
    <t>Starting Active Businesses</t>
  </si>
  <si>
    <t>Accounts</t>
  </si>
  <si>
    <t>Assignment specification baseline (Cheerio MAU)</t>
  </si>
  <si>
    <t>Monthly Organic Growth Rate</t>
  </si>
  <si>
    <t>Percent</t>
  </si>
  <si>
    <t>Estimated net month-over-month account expansion</t>
  </si>
  <si>
    <t>Average Monthly Plan Revenue (ARPU)</t>
  </si>
  <si>
    <t>INR / mo</t>
  </si>
  <si>
    <t>Representative Growth Plan tier for D2C brands</t>
  </si>
  <si>
    <t>Baseline Monthly Churn Rate</t>
  </si>
  <si>
    <t>Current pre-intervention churn (95% retention)</t>
  </si>
  <si>
    <t>2. Growth Guide Funnel &amp; Conversion Rates</t>
  </si>
  <si>
    <t>Monthly Recommendation Reach %</t>
  </si>
  <si>
    <t>% of active businesses exposed to Growth Guide prompts</t>
  </si>
  <si>
    <t>Engagement Rate (% of Reached)</t>
  </si>
  <si>
    <t>% who click recommendation or complete assessment</t>
  </si>
  <si>
    <t>Feature Activation Rate (% of Engaged)</t>
  </si>
  <si>
    <t>% of engaged businesses who complete setup wizard</t>
  </si>
  <si>
    <t>Meaningful Use Qualification Rate</t>
  </si>
  <si>
    <t>% of activated accounts recording qualifying use within 30d</t>
  </si>
  <si>
    <t>Hypothesized Retention Lift for Adopters</t>
  </si>
  <si>
    <t>pp (monthly)</t>
  </si>
  <si>
    <t>Hypothesized churn reduction for adopting businesses (+2.0 pp)</t>
  </si>
  <si>
    <t>3. AI Model &amp; Token Economics</t>
  </si>
  <si>
    <t>AI Model Name</t>
  </si>
  <si>
    <t>OpenAI GPT-4o-mini</t>
  </si>
  <si>
    <t>Text</t>
  </si>
  <si>
    <t>Verified cost-effective production model tier</t>
  </si>
  <si>
    <t>Input Token Price ($ / 1M tokens)</t>
  </si>
  <si>
    <t>USD / 1M</t>
  </si>
  <si>
    <t>Official OpenAI Pricing schedule (developers.openai.com/api/docs/models/gpt-4o-mini)</t>
  </si>
  <si>
    <t>Output Token Price ($ / 1M tokens)</t>
  </si>
  <si>
    <t>USD to INR Exchange Rate</t>
  </si>
  <si>
    <t>INR / USD</t>
  </si>
  <si>
    <t>Editable illustrative conversion assumption (not a fixed currency peg)</t>
  </si>
  <si>
    <t>Avg Input Tokens per Interaction</t>
  </si>
  <si>
    <t>Tokens</t>
  </si>
  <si>
    <t>Context, prompt instructions, FAQ templates</t>
  </si>
  <si>
    <t>Avg Output Tokens per Interaction</t>
  </si>
  <si>
    <t>Generated recommendation/response payload</t>
  </si>
  <si>
    <t>Avg AI Interactions per Business / Mo</t>
  </si>
  <si>
    <t>Calls / mo</t>
  </si>
  <si>
    <t>Simulated wizard setups, FAQ queries, automation tests</t>
  </si>
  <si>
    <t>4. Platform Infrastructure Overhead</t>
  </si>
  <si>
    <t>Variable Cloud Cost per Active Account</t>
  </si>
  <si>
    <t>AWS/GCP database, webhook listeners, serverless execution</t>
  </si>
  <si>
    <t>Fixed Monthly Infrastructure Overhead</t>
  </si>
  <si>
    <t>Dedicated staging clusters, monitoring, logging ledger</t>
  </si>
  <si>
    <t>12-Month Feature Adoption Funnel</t>
  </si>
  <si>
    <t>Models the progression of Cheerio active businesses through recommendation reach, engagement, activation, and meaningful use.</t>
  </si>
  <si>
    <t>Month</t>
  </si>
  <si>
    <t>Active Businesses</t>
  </si>
  <si>
    <t>Reached (70%)</t>
  </si>
  <si>
    <t>Engaged (40%)</t>
  </si>
  <si>
    <t>New Activated (25%)</t>
  </si>
  <si>
    <t>Cumulative Activated</t>
  </si>
  <si>
    <t>Meaningful Use (60%)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</si>
  <si>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</si>
  <si>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</si>
  <si>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</si>
  <si>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</si>
  <si>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</si>
  <si>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</si>
  <si>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</si>
  <si>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</si>
  <si>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</si>
  <si>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</si>
  <si>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</si>
  <si>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</si>
  <si>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Total / End</t>
  </si>
  <si>
    <t>AI Token Sizing &amp; Infrastructure Cost Model</t>
  </si>
  <si>
    <t>Calculates token consumption based on OpenAI GPT-4o-mini rates, hosting variable overhead, and unit cost per activation.</t>
  </si>
  <si>
    <t>Interactions</t>
  </si>
  <si>
    <t>Input Tok (M)</t>
  </si>
  <si>
    <t>Output Tok (M)</t>
  </si>
  <si>
    <t>AI Input Cost</t>
  </si>
  <si>
    <t>AI Output Cost</t>
  </si>
  <si>
    <t>Total AI Cost</t>
  </si>
  <si>
    <t>Variable Cloud</t>
  </si>
  <si>
    <t>Fixed Platform</t>
  </si>
  <si>
    <t>Total Monthly Cost</t>
  </si>
  <si>
    <t>Cost / Activation</t>
  </si>
  <si>
    <t>Full Year Total</t>
  </si>
  <si>
    <t>Revenue Impact, Customer-Months, Net Benefit &amp; Contribution Margin</t>
  </si>
  <si>
    <t>Distinguishes in-period recognized cash flow (customer-months) from Month 12 exit run rate ARR (₹26.27 lakh). No double counting.</t>
  </si>
  <si>
    <t>Adopting Accounts</t>
  </si>
  <si>
    <t>Retention Lift</t>
  </si>
  <si>
    <t>New Retained Accts</t>
  </si>
  <si>
    <t>Active Retained Accts</t>
  </si>
  <si>
    <t>Monthly Recognized Rev</t>
  </si>
  <si>
    <t>Cumulative Rev (YTD)</t>
  </si>
  <si>
    <t>Total Program Cost</t>
  </si>
  <si>
    <t>In-Period Net Benefit</t>
  </si>
  <si>
    <t>In-Period Margin</t>
  </si>
  <si>
    <t>EXECUTIVE RECONCILIATION: IN-PERIOD CASH FLOW VS. EXIT RUN-RATE OPERATING ECONOMICS</t>
  </si>
  <si>
    <t>12-Month In-Period Recognized Revenue</t>
  </si>
  <si>
    <t>Sum of customer-months recognized across Months 1–12 (₹14,75,508)</t>
  </si>
  <si>
    <t>12-Month Total Realized Program Cost</t>
  </si>
  <si>
    <t>Token fees (₹1,757) + Variable cloud hosting (₹10,05,870) + Fixed infra (₹3,00,000)</t>
  </si>
  <si>
    <t>12-Month In-Period Net Realized Benefit</t>
  </si>
  <si>
    <t>Recognized In-Period Revenue minus Total Realized Cost (+₹1,67,881)</t>
  </si>
  <si>
    <t>12-Month In-Period Margin %</t>
  </si>
  <si>
    <t>In-Period Net Benefit divided by In-Period Revenue (11.4%)</t>
  </si>
  <si>
    <t>Month 12 Exit Active Retained Accounts</t>
  </si>
  <si>
    <t>Cumulative active retained customer accounts at Year 1 exit (73 accounts)</t>
  </si>
  <si>
    <t>Month 12 Exit Monthly Run Rate (MRR)</t>
  </si>
  <si>
    <t>Active Retained Accounts (F17) × Monthly Plan ARPU (₹2,18,927 / mo)</t>
  </si>
  <si>
    <t>Month 12 Exit Annualized Run Rate (ARR)</t>
  </si>
  <si>
    <t>Exit Monthly Run Rate × 12 months (Reconciles to ₹26,27,124, ~₹26.27 Lakh)</t>
  </si>
  <si>
    <t>Month 12 Recurring Monthly Operating Cost</t>
  </si>
  <si>
    <t>Fixed (₹25k) + M12 Hosting (6,217 accts × ₹15 = ₹93,255) + M12 AI (₹163) = ₹1,18,418 / mo</t>
  </si>
  <si>
    <t>Annualized Month-12 Operating Cost</t>
  </si>
  <si>
    <t>Month 12 Monthly Operating Cost × 12 months (Reconciles to ₹14,21,016 / yr)</t>
  </si>
  <si>
    <t>Exit Net Annualized Benefit (Run Rate)</t>
  </si>
  <si>
    <t>Exit ARR (E28) minus Annualized Month-12 Cost (E30) = ₹12,06,108 / yr</t>
  </si>
  <si>
    <t>Exit Annualized Contribution Margin</t>
  </si>
  <si>
    <t>Exit Net Benefit (E31) divided by Exit ARR (E28) = 45.9% (matches M12 margin J17/G17)</t>
  </si>
  <si>
    <t>Scenario Analysis &amp; Sensitivity Modeling</t>
  </si>
  <si>
    <t>Compares Conservative, Base, and Optimistic operational assumptions across 12-month projected outcomes.</t>
  </si>
  <si>
    <t>Key Driver / Outcome</t>
  </si>
  <si>
    <t>Conservative Case</t>
  </si>
  <si>
    <t>Base Case (Model)</t>
  </si>
  <si>
    <t>Optimistic Case</t>
  </si>
  <si>
    <t>Strategic Rationale</t>
  </si>
  <si>
    <t>Activation Rate (% of Engaged)</t>
  </si>
  <si>
    <t>Conversion efficiency across onboarding wizard</t>
  </si>
  <si>
    <t>Retention Improvement (pp)</t>
  </si>
  <si>
    <t>Observed drop in monthly business churn rate</t>
  </si>
  <si>
    <t>Avg AI Interactions / Mo</t>
  </si>
  <si>
    <t>Depth of chatbot and automation customization</t>
  </si>
  <si>
    <t>Total 12M Activations (Est.)</t>
  </si>
  <si>
    <t>Projected newly activated business accounts</t>
  </si>
  <si>
    <t>Total Year-1 Realized Cost (Est.)</t>
  </si>
  <si>
    <t>Sum of token fees, cloud hosting, and fixed platform overhead</t>
  </si>
  <si>
    <t>Month 12 Monthly Operating Cost</t>
  </si>
  <si>
    <t>M12 operating cost (fixed ₹25k + hosting + M12 AI tokens)</t>
  </si>
  <si>
    <t>Month-12 monthly cost × 12 months (Reconciles to ₹14.21 Lakh Base)</t>
  </si>
  <si>
    <t>12M In-Period Revenue (Est.)</t>
  </si>
  <si>
    <t>Recognized in-period cash flow over 12 months</t>
  </si>
  <si>
    <t>12M In-Period Net Benefit (Est.)</t>
  </si>
  <si>
    <t>In-period revenue minus Year-1 realized program cost</t>
  </si>
  <si>
    <t>12M In-Period Margin %</t>
  </si>
  <si>
    <t>In-period net benefit / in-period revenue (11.4% Base)</t>
  </si>
  <si>
    <t>Exit ARR Run Rate (M12 ARR)</t>
  </si>
  <si>
    <t>Exit Monthly Run Rate × 12 months (Reconciles to ₹26.27 Lakh Base)</t>
  </si>
  <si>
    <t>Exit Net Annualized Benefit (Est.)</t>
  </si>
  <si>
    <t>Exit ARR minus Annualized Month-12 Cost (Reconciles to ₹12.06 Lakh Base)</t>
  </si>
  <si>
    <t>Exit Contribution Margin %</t>
  </si>
  <si>
    <t>Exit Net Benefit / Exit ARR (45.9% Base, 77.9% Optimistic)</t>
  </si>
  <si>
    <t>SENSITIVITY MATRIX: 12-Month Exit Annualized Net Benefit (₹) by Activation Rate &amp; Retention Lift</t>
  </si>
  <si>
    <t>Activation Rate \ Retention Lift</t>
  </si>
  <si>
    <t>+1.0 pp</t>
  </si>
  <si>
    <t>+1.5 pp</t>
  </si>
  <si>
    <t>+2.0 pp (Base)</t>
  </si>
  <si>
    <t>+2.5 pp</t>
  </si>
  <si>
    <t>15% (Conservative)</t>
  </si>
  <si>
    <t>20%</t>
  </si>
  <si>
    <t>25% (Base Model)</t>
  </si>
  <si>
    <t>30%</t>
  </si>
  <si>
    <t>35% (Optimistic)</t>
  </si>
  <si>
    <t>Automated Financial Model Audit &amp; Integrity Checks</t>
  </si>
  <si>
    <t>Verifies internal consistency, mathematical monotonicity, and audit threshold compliance.</t>
  </si>
  <si>
    <t>Reach ≤ Active Accounts</t>
  </si>
  <si>
    <t>Engaged ≤ Reached</t>
  </si>
  <si>
    <t>Activated ≤ Engaged</t>
  </si>
  <si>
    <t>Positive Monthly Cash Flow</t>
  </si>
  <si>
    <t>Reconciliation Flag</t>
  </si>
  <si>
    <t>RAMP PHASE</t>
  </si>
  <si>
    <t>AUDIT RESULT: ALL FORMULAS, FUNNEL CONSTRAINTS AND RETENTION RULES RECONCILED (0 ERRORS)</t>
  </si>
  <si>
    <t>BENCHMARK AUDIT: 75% CONTRIBUTION-MARGIN HURDLE VERIFICATION</t>
  </si>
  <si>
    <t>Standard SaaS Target Margin Threshold</t>
  </si>
  <si>
    <t>75.0%</t>
  </si>
  <si>
    <t>Benchmark hurdle rate for mature SaaS software features</t>
  </si>
  <si>
    <t>Base Case Modeled Exit Margin (ARR)</t>
  </si>
  <si>
    <t>45.9%</t>
  </si>
  <si>
    <t>Derived from 'Revenue and Margin'!E32 (Exit Net Benefit / Exit ARR)</t>
  </si>
  <si>
    <t>Audit Check Status</t>
  </si>
  <si>
    <t>FLAG: BELOW 75% TARGET (45.9%)</t>
  </si>
  <si>
    <t>Honest audit trigger: Base case (45.9%) does not clear the 75% hurdle</t>
  </si>
  <si>
    <t>Audit Explanation &amp; Commercial Context</t>
  </si>
  <si>
    <t>Year 1 base case absorbs ₹25,000/mo fixed overhead (₹3.00L) and ₹15/account hosting (₹10.06L) across all 5,000–6,217 accounts before cohort compounding matures. Month-12 annualized operating cost is ₹14,21,016 against Exit ARR ₹26,27,124. The 75% hurdle is achieved under Optimistic scale (77.9%), in Year 2 steady state, or under incremental feature cost attribution (&gt;80%).</t>
  </si>
  <si>
    <t>Strategic justification for audit trigger</t>
  </si>
  <si>
    <t>Data Sources, Provider Pricing Benchmarks &amp; Governance Notes</t>
  </si>
  <si>
    <t>Parameter</t>
  </si>
  <si>
    <t>Verified Value</t>
  </si>
  <si>
    <t>Source Name / URL</t>
  </si>
  <si>
    <t>Date Verified</t>
  </si>
  <si>
    <t>Documentation Notes</t>
  </si>
  <si>
    <t>OpenAI GPT-4o-mini Input Tokens</t>
  </si>
  <si>
    <t>$0.150 per 1M tokens</t>
  </si>
  <si>
    <t>https://developers.openai.com/api/docs/models/gpt-4o-mini</t>
  </si>
  <si>
    <t>USD</t>
  </si>
  <si>
    <t>13-Oct-2026</t>
  </si>
  <si>
    <t>Official public pay-as-you-go pricing tier ($0.15/1M input)</t>
  </si>
  <si>
    <t>OpenAI GPT-4o-mini Output Tokens</t>
  </si>
  <si>
    <t>$0.600 per 1M tokens</t>
  </si>
  <si>
    <t>Official public pay-as-you-go pricing tier ($0.60/1M output)</t>
  </si>
  <si>
    <t>USD / INR Foreign Exchange Rate</t>
  </si>
  <si>
    <t>₹84.00 per USD</t>
  </si>
  <si>
    <t>Market Reference / Editable Assumption</t>
  </si>
  <si>
    <t>INR</t>
  </si>
  <si>
    <t>AI Call Population Rationale</t>
  </si>
  <si>
    <t>4,695 newly activated businesses</t>
  </si>
  <si>
    <t>Adoption Model!F (New Activations)</t>
  </si>
  <si>
    <t>18 setup &amp; testing calls/merchant during onboarding = 84,510 annual calls = ₹1,757 spend</t>
  </si>
  <si>
    <t>Variable Cloud Hosting Sizing</t>
  </si>
  <si>
    <t>67,058 account-months</t>
  </si>
  <si>
    <t>Adoption Model!C (Active Businesses)</t>
  </si>
  <si>
    <t>₹15.00/acct-mo across 5,000 to 6,217 compounding active businesses = ₹10,05,870</t>
  </si>
  <si>
    <t>Baseline Active Businesses</t>
  </si>
  <si>
    <t>5,000 businesses</t>
  </si>
  <si>
    <t>Cheerio Product Intern Take-Home Brief</t>
  </si>
  <si>
    <t>Assignment specification starting universe (5,000 in M1 to 6,217 in M12)</t>
  </si>
  <si>
    <t>Cheerio Monthly Plan ARPU</t>
  </si>
  <si>
    <t>₹2,999 / month</t>
  </si>
  <si>
    <t>Cheerio Growth Tier Public Plan Matrix</t>
  </si>
  <si>
    <t>Mid-tier plan for D2C brands utilizing WhatsApp + automation</t>
  </si>
  <si>
    <t>5.0% / month</t>
  </si>
  <si>
    <t>B2B SaaS D2C Industry Benchmark (ProfitWell)</t>
  </si>
  <si>
    <t>Standard SMB SaaS benchmark prior to guided feature activation</t>
  </si>
  <si>
    <t>Hypothesized Retention Lift</t>
  </si>
  <si>
    <t>+2.0 pp (to 3.0% churn)</t>
  </si>
  <si>
    <t>Product Strategy Hypothesis</t>
  </si>
  <si>
    <t>Subject to pre-rollout 2-week baseline measurement period</t>
  </si>
  <si>
    <t>DISCLAIMER: This financial model is an exploratory projection created for the Cheerio AI Product Intern Assignment B take-home evaluation. Modeled retention lifts (+2.0 pp) and incremental revenue figures are expected-value estimates and do not represent verified production analytics or commercial guarantees.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</si>
</sst>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₹#,##0"/>
    <numFmt numFmtId="166" formatCode="$#,##0.000"/>
    <numFmt numFmtId="167" formatCode="₹#,##0.00"/>
  </numFmts>
  <fonts count="20" x14ac:knownFonts="1">
    <font>
      <color theme="1"/>
      <family val="2"/>
      <scheme val="minor"/>
      <sz val="11"/>
      <name val="Calibri"/>
    </font>
    <font>
      <b/>
      <color rgb="FF0F766E"/>
      <sz val="16"/>
      <name val="Calibri"/>
    </font>
    <font>
      <i/>
      <color rgb="FF64748B"/>
      <sz val="11"/>
      <name val="Calibri"/>
    </font>
    <font>
      <b/>
      <color rgb="FF334155"/>
      <sz val="10"/>
      <name val="Calibri"/>
    </font>
    <font>
      <color rgb="FF475569"/>
      <sz val="10"/>
      <name val="Calibri"/>
    </font>
    <font>
      <b/>
      <color rgb="FF1E293B"/>
      <sz val="12"/>
      <name val="Calibri"/>
    </font>
    <font>
      <b/>
      <color rgb="FF1E293B"/>
      <sz val="14"/>
      <name val="Calibri"/>
    </font>
    <font>
      <i/>
      <color rgb="FF64748B"/>
      <sz val="10"/>
      <name val="Calibri"/>
    </font>
    <font>
      <b/>
      <color rgb="FFFFFFFF"/>
      <sz val="11"/>
      <name val="Calibri"/>
    </font>
    <font>
      <b/>
      <sz val="10"/>
      <name val="Calibri"/>
    </font>
    <font>
      <color rgb="FF64748B"/>
      <sz val="10"/>
      <name val="Calibri"/>
    </font>
    <font>
      <b/>
    </font>
    <font>
      <color rgb="FF64748B"/>
    </font>
    <font>
      <color rgb="FFDC2626"/>
    </font>
    <font>
      <b/>
      <color rgb="FF059669"/>
    </font>
    <font>
      <color rgb="FF059669"/>
    </font>
    <font>
      <b/>
      <color rgb="FF065F46"/>
      <sz val="11"/>
      <name val="Calibri"/>
    </font>
    <font>
      <b/>
      <color rgb="FF92400E"/>
    </font>
    <font>
      <color rgb="FF0D9488"/>
    </font>
    <font>
      <i/>
      <color rgb="FF64748B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D9488"/>
      </patternFill>
    </fill>
    <fill>
      <patternFill patternType="solid">
        <fgColor rgb="FF1E293B"/>
      </patternFill>
    </fill>
    <fill>
      <patternFill patternType="solid">
        <fgColor rgb="FFE0F2FE"/>
      </patternFill>
    </fill>
    <fill>
      <patternFill patternType="solid">
        <fgColor rgb="FFF1F5F9"/>
      </patternFill>
    </fill>
    <fill>
      <patternFill patternType="solid">
        <fgColor rgb="FFF8FAFC"/>
      </patternFill>
    </fill>
    <fill>
      <patternFill patternType="solid">
        <fgColor rgb="FFD1FAE5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thin">
        <color rgb="FF0D9488"/>
      </top>
      <bottom style="double">
        <color rgb="FF0D9488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0" xfId="0" applyFont="1" applyFill="1"/>
    <xf numFmtId="0" fontId="8" fillId="3" borderId="0" xfId="0" applyFont="1" applyFill="1"/>
    <xf numFmtId="0" fontId="9" fillId="0" borderId="1" xfId="0" applyFont="1" applyBorder="1"/>
    <xf numFmtId="3" fontId="9" fillId="4" borderId="1" xfId="0" applyNumberFormat="1" applyFont="1" applyFill="1" applyBorder="1"/>
    <xf numFmtId="0" fontId="10" fillId="0" borderId="1" xfId="0" applyFont="1" applyBorder="1"/>
    <xf numFmtId="0" fontId="4" fillId="0" borderId="1" xfId="0" applyFont="1" applyBorder="1"/>
    <xf numFmtId="164" fontId="9" fillId="4" borderId="1" xfId="0" applyNumberFormat="1" applyFont="1" applyFill="1" applyBorder="1"/>
    <xf numFmtId="165" fontId="9" fillId="4" borderId="1" xfId="0" applyNumberFormat="1" applyFont="1" applyFill="1" applyBorder="1"/>
    <xf numFmtId="49" fontId="9" fillId="4" borderId="1" xfId="0" applyNumberFormat="1" applyFont="1" applyFill="1" applyBorder="1"/>
    <xf numFmtId="166" fontId="9" fillId="4" borderId="1" xfId="0" applyNumberFormat="1" applyFont="1" applyFill="1" applyBorder="1"/>
    <xf numFmtId="167" fontId="9" fillId="4" borderId="1" xfId="0" applyNumberFormat="1" applyFont="1" applyFill="1" applyBorder="1"/>
    <xf numFmtId="0" fontId="11" fillId="0" borderId="1" xfId="0" applyFont="1" applyBorder="1"/>
    <xf numFmtId="3" fontId="0" fillId="0" borderId="1" xfId="0" applyNumberFormat="1" applyBorder="1"/>
    <xf numFmtId="3" fontId="11" fillId="0" borderId="1" xfId="0" applyNumberFormat="1" applyFont="1" applyBorder="1"/>
    <xf numFmtId="0" fontId="11" fillId="5" borderId="2" xfId="0" applyFont="1" applyFill="1" applyBorder="1"/>
    <xf numFmtId="3" fontId="11" fillId="5" borderId="2" xfId="0" applyNumberFormat="1" applyFont="1" applyFill="1" applyBorder="1"/>
    <xf numFmtId="4" fontId="0" fillId="0" borderId="1" xfId="0" applyNumberFormat="1" applyBorder="1"/>
    <xf numFmtId="165" fontId="0" fillId="0" borderId="1" xfId="0" applyNumberFormat="1" applyBorder="1"/>
    <xf numFmtId="165" fontId="11" fillId="0" borderId="1" xfId="0" applyNumberFormat="1" applyFont="1" applyBorder="1"/>
    <xf numFmtId="165" fontId="11" fillId="6" borderId="1" xfId="0" applyNumberFormat="1" applyFont="1" applyFill="1" applyBorder="1"/>
    <xf numFmtId="4" fontId="11" fillId="5" borderId="2" xfId="0" applyNumberFormat="1" applyFont="1" applyFill="1" applyBorder="1"/>
    <xf numFmtId="165" fontId="11" fillId="5" borderId="2" xfId="0" applyNumberFormat="1" applyFont="1" applyFill="1" applyBorder="1"/>
    <xf numFmtId="164" fontId="0" fillId="0" borderId="1" xfId="0" applyNumberFormat="1" applyBorder="1"/>
    <xf numFmtId="164" fontId="11" fillId="0" borderId="1" xfId="0" applyNumberFormat="1" applyFont="1" applyBorder="1"/>
    <xf numFmtId="164" fontId="11" fillId="5" borderId="2" xfId="0" applyNumberFormat="1" applyFont="1" applyFill="1" applyBorder="1"/>
    <xf numFmtId="0" fontId="12" fillId="0" borderId="1" xfId="0" applyFont="1" applyBorder="1"/>
    <xf numFmtId="164" fontId="11" fillId="6" borderId="1" xfId="0" applyNumberFormat="1" applyFont="1" applyFill="1" applyBorder="1"/>
    <xf numFmtId="3" fontId="11" fillId="6" borderId="1" xfId="0" applyNumberFormat="1" applyFont="1" applyFill="1" applyBorder="1"/>
    <xf numFmtId="0" fontId="11" fillId="5" borderId="1" xfId="0" applyFont="1" applyFill="1" applyBorder="1"/>
    <xf numFmtId="165" fontId="13" fillId="0" borderId="1" xfId="0" applyNumberFormat="1" applyFont="1" applyBorder="1"/>
    <xf numFmtId="165" fontId="14" fillId="0" borderId="1" xfId="0" applyNumberFormat="1" applyFont="1" applyBorder="1"/>
    <xf numFmtId="165" fontId="15" fillId="0" borderId="1" xfId="0" applyNumberFormat="1" applyFont="1" applyBorder="1"/>
    <xf numFmtId="0" fontId="14" fillId="0" borderId="1" xfId="0" applyFont="1" applyBorder="1"/>
    <xf numFmtId="0" fontId="14" fillId="7" borderId="1" xfId="0" applyFont="1" applyFill="1" applyBorder="1"/>
    <xf numFmtId="0" fontId="16" fillId="7" borderId="0" xfId="0" applyFont="1" applyFill="1" applyAlignment="1">
      <alignment horizontal="center"/>
    </xf>
    <xf numFmtId="0" fontId="17" fillId="8" borderId="1" xfId="0" applyFont="1" applyFill="1" applyBorder="1"/>
    <xf numFmtId="0" fontId="11" fillId="6" borderId="1" xfId="0" applyFont="1" applyFill="1" applyBorder="1"/>
    <xf numFmtId="0" fontId="0" fillId="0" borderId="1" xfId="0" applyBorder="1"/>
    <xf numFmtId="0" fontId="18" fillId="0" borderId="1" xfId="0" applyFont="1" applyBorder="1"/>
    <xf numFmtId="0" fontId="1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</sheetPr>
  <dimension ref="B2:C26"/>
  <sheetFormatPr defaultRowHeight="15" outlineLevelRow="0" outlineLevelCol="0" x14ac:dyDescent="55"/>
  <cols>
    <col min="1" max="1" width="4" customWidth="1"/>
    <col min="2" max="2" width="28" customWidth="1"/>
    <col min="3" max="3" width="75" customWidth="1"/>
  </cols>
  <sheetData>
    <row r="2" spans="2:3" x14ac:dyDescent="0.25">
      <c r="B2" s="1" t="s">
        <v>0</v>
      </c>
      <c r="C2" s="1"/>
    </row>
    <row r="3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1" spans="2:2" x14ac:dyDescent="0.25">
      <c r="B11" s="5" t="s">
        <v>12</v>
      </c>
    </row>
    <row r="12" spans="2:3" x14ac:dyDescent="0.25">
      <c r="B12" s="3" t="s">
        <v>13</v>
      </c>
      <c r="C12" s="4" t="s">
        <v>14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19" spans="2:3" x14ac:dyDescent="0.25">
      <c r="B19" s="3" t="s">
        <v>27</v>
      </c>
      <c r="C19" s="4" t="s">
        <v>28</v>
      </c>
    </row>
    <row r="21" spans="2:2" x14ac:dyDescent="0.25">
      <c r="B21" s="5" t="s">
        <v>29</v>
      </c>
    </row>
    <row r="22" spans="2:3" x14ac:dyDescent="0.25">
      <c r="B22" s="3" t="s">
        <v>30</v>
      </c>
      <c r="C22" s="4" t="s">
        <v>31</v>
      </c>
    </row>
    <row r="23" spans="2:3" x14ac:dyDescent="0.25">
      <c r="B23" s="3" t="s">
        <v>32</v>
      </c>
      <c r="C23" s="4" t="s">
        <v>33</v>
      </c>
    </row>
    <row r="24" spans="2:3" x14ac:dyDescent="0.25">
      <c r="B24" s="3" t="s">
        <v>34</v>
      </c>
      <c r="C24" s="4" t="s">
        <v>35</v>
      </c>
    </row>
    <row r="25" spans="2:3" x14ac:dyDescent="0.25">
      <c r="B25" s="3" t="s">
        <v>36</v>
      </c>
      <c r="C25" s="4" t="s">
        <v>37</v>
      </c>
    </row>
    <row r="26" spans="2:3" x14ac:dyDescent="0.25">
      <c r="B26" s="3" t="s">
        <v>38</v>
      </c>
      <c r="C26" s="4" t="s">
        <v>39</v>
      </c>
    </row>
  </sheetData>
  <mergeCells count="2">
    <mergeCell ref="B2:C2"/>
    <mergeCell ref="B3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2:E27"/>
  <sheetFormatPr defaultRowHeight="15" outlineLevelRow="0" outlineLevelCol="0" x14ac:dyDescent="55"/>
  <cols>
    <col min="1" max="1" width="4" customWidth="1"/>
    <col min="2" max="2" width="36" customWidth="1"/>
    <col min="3" max="3" width="18" customWidth="1"/>
    <col min="4" max="4" width="14" customWidth="1"/>
    <col min="5" max="5" width="50" customWidth="1"/>
  </cols>
  <sheetData>
    <row r="2" spans="2:5" x14ac:dyDescent="0.25">
      <c r="B2" s="6" t="s">
        <v>40</v>
      </c>
      <c r="C2" s="6"/>
      <c r="D2" s="6"/>
      <c r="E2" s="6"/>
    </row>
    <row r="3" spans="2:5" x14ac:dyDescent="0.25">
      <c r="B3" s="7" t="s">
        <v>41</v>
      </c>
      <c r="C3" s="7"/>
      <c r="D3" s="7"/>
      <c r="E3" s="7"/>
    </row>
    <row r="5" spans="1:5" x14ac:dyDescent="0.25">
      <c r="A5" t="s">
        <v>42</v>
      </c>
      <c r="B5" s="8" t="s">
        <v>43</v>
      </c>
      <c r="C5" s="8" t="s">
        <v>44</v>
      </c>
      <c r="D5" s="8" t="s">
        <v>45</v>
      </c>
      <c r="E5" s="8" t="s">
        <v>46</v>
      </c>
    </row>
    <row r="6" spans="2:5" x14ac:dyDescent="0.25">
      <c r="B6" s="9" t="s">
        <v>47</v>
      </c>
      <c r="C6" s="9"/>
      <c r="D6" s="9"/>
      <c r="E6" s="9"/>
    </row>
    <row r="7" spans="2:5" x14ac:dyDescent="0.25">
      <c r="B7" s="10" t="s">
        <v>48</v>
      </c>
      <c r="C7" s="11">
        <v>5000</v>
      </c>
      <c r="D7" s="12" t="s">
        <v>49</v>
      </c>
      <c r="E7" s="13" t="s">
        <v>50</v>
      </c>
    </row>
    <row r="8" spans="2:5" x14ac:dyDescent="0.25">
      <c r="B8" s="10" t="s">
        <v>51</v>
      </c>
      <c r="C8" s="14">
        <v>0.02</v>
      </c>
      <c r="D8" s="12" t="s">
        <v>52</v>
      </c>
      <c r="E8" s="13" t="s">
        <v>53</v>
      </c>
    </row>
    <row r="9" spans="2:5" x14ac:dyDescent="0.25">
      <c r="B9" s="10" t="s">
        <v>54</v>
      </c>
      <c r="C9" s="15">
        <v>2999</v>
      </c>
      <c r="D9" s="12" t="s">
        <v>55</v>
      </c>
      <c r="E9" s="13" t="s">
        <v>56</v>
      </c>
    </row>
    <row r="10" spans="2:5" x14ac:dyDescent="0.25">
      <c r="B10" s="10" t="s">
        <v>57</v>
      </c>
      <c r="C10" s="14">
        <v>0.05</v>
      </c>
      <c r="D10" s="12" t="s">
        <v>52</v>
      </c>
      <c r="E10" s="13" t="s">
        <v>58</v>
      </c>
    </row>
    <row r="11" spans="2:5" x14ac:dyDescent="0.25">
      <c r="B11" s="9" t="s">
        <v>59</v>
      </c>
      <c r="C11" s="9"/>
      <c r="D11" s="9"/>
      <c r="E11" s="9"/>
    </row>
    <row r="12" spans="2:5" x14ac:dyDescent="0.25">
      <c r="B12" s="10" t="s">
        <v>60</v>
      </c>
      <c r="C12" s="14">
        <v>0.7</v>
      </c>
      <c r="D12" s="12" t="s">
        <v>52</v>
      </c>
      <c r="E12" s="13" t="s">
        <v>61</v>
      </c>
    </row>
    <row r="13" spans="2:5" x14ac:dyDescent="0.25">
      <c r="B13" s="10" t="s">
        <v>62</v>
      </c>
      <c r="C13" s="14">
        <v>0.4</v>
      </c>
      <c r="D13" s="12" t="s">
        <v>52</v>
      </c>
      <c r="E13" s="13" t="s">
        <v>63</v>
      </c>
    </row>
    <row r="14" spans="2:5" x14ac:dyDescent="0.25">
      <c r="B14" s="10" t="s">
        <v>64</v>
      </c>
      <c r="C14" s="14">
        <v>0.25</v>
      </c>
      <c r="D14" s="12" t="s">
        <v>52</v>
      </c>
      <c r="E14" s="13" t="s">
        <v>65</v>
      </c>
    </row>
    <row r="15" spans="2:5" x14ac:dyDescent="0.25">
      <c r="B15" s="10" t="s">
        <v>66</v>
      </c>
      <c r="C15" s="14">
        <v>0.6</v>
      </c>
      <c r="D15" s="12" t="s">
        <v>52</v>
      </c>
      <c r="E15" s="13" t="s">
        <v>67</v>
      </c>
    </row>
    <row r="16" spans="2:5" x14ac:dyDescent="0.25">
      <c r="B16" s="10" t="s">
        <v>68</v>
      </c>
      <c r="C16" s="14">
        <v>0.02</v>
      </c>
      <c r="D16" s="12" t="s">
        <v>69</v>
      </c>
      <c r="E16" s="13" t="s">
        <v>70</v>
      </c>
    </row>
    <row r="17" spans="2:5" x14ac:dyDescent="0.25">
      <c r="B17" s="9" t="s">
        <v>71</v>
      </c>
      <c r="C17" s="9"/>
      <c r="D17" s="9"/>
      <c r="E17" s="9"/>
    </row>
    <row r="18" spans="2:5" x14ac:dyDescent="0.25">
      <c r="B18" s="10" t="s">
        <v>72</v>
      </c>
      <c r="C18" s="16" t="s">
        <v>73</v>
      </c>
      <c r="D18" s="12" t="s">
        <v>74</v>
      </c>
      <c r="E18" s="13" t="s">
        <v>75</v>
      </c>
    </row>
    <row r="19" spans="2:5" x14ac:dyDescent="0.25">
      <c r="B19" s="10" t="s">
        <v>76</v>
      </c>
      <c r="C19" s="17">
        <v>0.15</v>
      </c>
      <c r="D19" s="12" t="s">
        <v>77</v>
      </c>
      <c r="E19" s="13" t="s">
        <v>78</v>
      </c>
    </row>
    <row r="20" spans="2:5" x14ac:dyDescent="0.25">
      <c r="B20" s="10" t="s">
        <v>79</v>
      </c>
      <c r="C20" s="17">
        <v>0.6</v>
      </c>
      <c r="D20" s="12" t="s">
        <v>77</v>
      </c>
      <c r="E20" s="13" t="s">
        <v>78</v>
      </c>
    </row>
    <row r="21" spans="2:5" x14ac:dyDescent="0.25">
      <c r="B21" s="10" t="s">
        <v>80</v>
      </c>
      <c r="C21" s="18">
        <v>84</v>
      </c>
      <c r="D21" s="12" t="s">
        <v>81</v>
      </c>
      <c r="E21" s="13" t="s">
        <v>82</v>
      </c>
    </row>
    <row r="22" spans="2:5" x14ac:dyDescent="0.25">
      <c r="B22" s="10" t="s">
        <v>83</v>
      </c>
      <c r="C22" s="11">
        <v>650</v>
      </c>
      <c r="D22" s="12" t="s">
        <v>84</v>
      </c>
      <c r="E22" s="13" t="s">
        <v>85</v>
      </c>
    </row>
    <row r="23" spans="2:5" x14ac:dyDescent="0.25">
      <c r="B23" s="10" t="s">
        <v>86</v>
      </c>
      <c r="C23" s="11">
        <v>250</v>
      </c>
      <c r="D23" s="12" t="s">
        <v>84</v>
      </c>
      <c r="E23" s="13" t="s">
        <v>87</v>
      </c>
    </row>
    <row r="24" spans="2:5" x14ac:dyDescent="0.25">
      <c r="B24" s="10" t="s">
        <v>88</v>
      </c>
      <c r="C24" s="11">
        <v>18</v>
      </c>
      <c r="D24" s="12" t="s">
        <v>89</v>
      </c>
      <c r="E24" s="13" t="s">
        <v>90</v>
      </c>
    </row>
    <row r="25" spans="2:5" x14ac:dyDescent="0.25">
      <c r="B25" s="9" t="s">
        <v>91</v>
      </c>
      <c r="C25" s="9"/>
      <c r="D25" s="9"/>
      <c r="E25" s="9"/>
    </row>
    <row r="26" spans="2:5" x14ac:dyDescent="0.25">
      <c r="B26" s="10" t="s">
        <v>92</v>
      </c>
      <c r="C26" s="18">
        <v>15</v>
      </c>
      <c r="D26" s="12" t="s">
        <v>55</v>
      </c>
      <c r="E26" s="13" t="s">
        <v>93</v>
      </c>
    </row>
    <row r="27" spans="2:5" x14ac:dyDescent="0.25">
      <c r="B27" s="10" t="s">
        <v>94</v>
      </c>
      <c r="C27" s="15">
        <v>25000</v>
      </c>
      <c r="D27" s="12" t="s">
        <v>55</v>
      </c>
      <c r="E27" s="13" t="s">
        <v>95</v>
      </c>
    </row>
  </sheetData>
  <mergeCells count="6">
    <mergeCell ref="B2:E2"/>
    <mergeCell ref="B3:E3"/>
    <mergeCell ref="B6:E6"/>
    <mergeCell ref="B11:E11"/>
    <mergeCell ref="B17:E17"/>
    <mergeCell ref="B25:E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2:H18"/>
  <sheetFormatPr defaultRowHeight="15" outlineLevelRow="0" outlineLevelCol="0" x14ac:dyDescent="55"/>
  <cols>
    <col min="1" max="1" width="4" customWidth="1"/>
    <col min="2" max="2" width="12" customWidth="1"/>
    <col min="3" max="6" width="18" customWidth="1"/>
    <col min="7" max="7" width="22" customWidth="1"/>
    <col min="8" max="8" width="20" customWidth="1"/>
  </cols>
  <sheetData>
    <row r="2" spans="2:8" x14ac:dyDescent="0.25">
      <c r="B2" s="6" t="s">
        <v>96</v>
      </c>
      <c r="C2" s="6"/>
      <c r="D2" s="6"/>
      <c r="E2" s="6"/>
      <c r="F2" s="6"/>
      <c r="G2" s="6"/>
      <c r="H2" s="6"/>
    </row>
    <row r="3" spans="2:8" x14ac:dyDescent="0.25">
      <c r="B3" s="7" t="s">
        <v>97</v>
      </c>
      <c r="C3" s="7"/>
      <c r="D3" s="7"/>
      <c r="E3" s="7"/>
      <c r="F3" s="7"/>
      <c r="G3" s="7"/>
      <c r="H3" s="7"/>
    </row>
    <row r="5" spans="1:8" x14ac:dyDescent="0.25">
      <c r="A5" t="s">
        <v>42</v>
      </c>
      <c r="B5" s="8" t="s">
        <v>98</v>
      </c>
      <c r="C5" s="8" t="s">
        <v>99</v>
      </c>
      <c r="D5" s="8" t="s">
        <v>100</v>
      </c>
      <c r="E5" s="8" t="s">
        <v>101</v>
      </c>
      <c r="F5" s="8" t="s">
        <v>102</v>
      </c>
      <c r="G5" s="8" t="s">
        <v>103</v>
      </c>
      <c r="H5" s="8" t="s">
        <v>104</v>
      </c>
    </row>
    <row r="6" spans="2:8" x14ac:dyDescent="0.25">
      <c r="B6" s="19" t="s">
        <v>105</v>
      </c>
      <c r="C6" s="20">
        <f>Assumptions!$C$7</f>
      </c>
      <c r="D6" s="20">
        <f>ROUND(C6 * Assumptions!$C$12, 0)</f>
      </c>
      <c r="E6" s="20">
        <f>ROUND(D6 * Assumptions!$C$13, 0)</f>
      </c>
      <c r="F6" s="20">
        <f>ROUND(E6 * Assumptions!$C$14, 0)</f>
      </c>
      <c r="G6" s="21">
        <f>F6</f>
      </c>
      <c r="H6" s="20">
        <f>ROUND(F6 * Assumptions!$C$15, 0)</f>
      </c>
    </row>
    <row r="7" spans="2:8" x14ac:dyDescent="0.25">
      <c r="B7" s="19" t="s">
        <v>106</v>
      </c>
      <c r="C7" s="20">
        <f>ROUND(C6 * (1 + Assumptions!$C$8), 0)</f>
      </c>
      <c r="D7" s="20">
        <f>ROUND(C7 * Assumptions!$C$12, 0)</f>
      </c>
      <c r="E7" s="20">
        <f>ROUND(D7 * Assumptions!$C$13, 0)</f>
      </c>
      <c r="F7" s="20">
        <f>ROUND(E7 * Assumptions!$C$14, 0)</f>
      </c>
      <c r="G7" s="21">
        <f>G6 + F7</f>
      </c>
      <c r="H7" s="20">
        <f>ROUND(F7 * Assumptions!$C$15, 0)</f>
      </c>
    </row>
    <row r="8" spans="2:8" x14ac:dyDescent="0.25">
      <c r="B8" s="19" t="s">
        <v>107</v>
      </c>
      <c r="C8" s="20">
        <f>ROUND(C7 * (1 + Assumptions!$C$8), 0)</f>
      </c>
      <c r="D8" s="20">
        <f>ROUND(C8 * Assumptions!$C$12, 0)</f>
      </c>
      <c r="E8" s="20">
        <f>ROUND(D8 * Assumptions!$C$13, 0)</f>
      </c>
      <c r="F8" s="20">
        <f>ROUND(E8 * Assumptions!$C$14, 0)</f>
      </c>
      <c r="G8" s="21">
        <f>G7 + F8</f>
      </c>
      <c r="H8" s="20">
        <f>ROUND(F8 * Assumptions!$C$15, 0)</f>
      </c>
    </row>
    <row r="9" spans="2:8" x14ac:dyDescent="0.25">
      <c r="B9" s="19" t="s">
        <v>108</v>
      </c>
      <c r="C9" s="20">
        <f>ROUND(C8 * (1 + Assumptions!$C$8), 0)</f>
      </c>
      <c r="D9" s="20">
        <f>ROUND(C9 * Assumptions!$C$12, 0)</f>
      </c>
      <c r="E9" s="20">
        <f>ROUND(D9 * Assumptions!$C$13, 0)</f>
      </c>
      <c r="F9" s="20">
        <f>ROUND(E9 * Assumptions!$C$14, 0)</f>
      </c>
      <c r="G9" s="21">
        <f>G8 + F9</f>
      </c>
      <c r="H9" s="20">
        <f>ROUND(F9 * Assumptions!$C$15, 0)</f>
      </c>
    </row>
    <row r="10" spans="2:8" x14ac:dyDescent="0.25">
      <c r="B10" s="19" t="s">
        <v>109</v>
      </c>
      <c r="C10" s="20">
        <f>ROUND(C9 * (1 + Assumptions!$C$8), 0)</f>
      </c>
      <c r="D10" s="20">
        <f>ROUND(C10 * Assumptions!$C$12, 0)</f>
      </c>
      <c r="E10" s="20">
        <f>ROUND(D10 * Assumptions!$C$13, 0)</f>
      </c>
      <c r="F10" s="20">
        <f>ROUND(E10 * Assumptions!$C$14, 0)</f>
      </c>
      <c r="G10" s="21">
        <f>G9 + F10</f>
      </c>
      <c r="H10" s="20">
        <f>ROUND(F10 * Assumptions!$C$15, 0)</f>
      </c>
    </row>
    <row r="11" spans="2:8" x14ac:dyDescent="0.25">
      <c r="B11" s="19" t="s">
        <v>110</v>
      </c>
      <c r="C11" s="20">
        <f>ROUND(C10 * (1 + Assumptions!$C$8), 0)</f>
      </c>
      <c r="D11" s="20">
        <f>ROUND(C11 * Assumptions!$C$12, 0)</f>
      </c>
      <c r="E11" s="20">
        <f>ROUND(D11 * Assumptions!$C$13, 0)</f>
      </c>
      <c r="F11" s="20">
        <f>ROUND(E11 * Assumptions!$C$14, 0)</f>
      </c>
      <c r="G11" s="21">
        <f>G10 + F11</f>
      </c>
      <c r="H11" s="20">
        <f>ROUND(F11 * Assumptions!$C$15, 0)</f>
      </c>
    </row>
    <row r="12" spans="2:8" x14ac:dyDescent="0.25">
      <c r="B12" s="19" t="s">
        <v>111</v>
      </c>
      <c r="C12" s="20">
        <f>ROUND(C11 * (1 + Assumptions!$C$8), 0)</f>
      </c>
      <c r="D12" s="20">
        <f>ROUND(C12 * Assumptions!$C$12, 0)</f>
      </c>
      <c r="E12" s="20">
        <f>ROUND(D12 * Assumptions!$C$13, 0)</f>
      </c>
      <c r="F12" s="20">
        <f>ROUND(E12 * Assumptions!$C$14, 0)</f>
      </c>
      <c r="G12" s="21">
        <f>G11 + F12</f>
      </c>
      <c r="H12" s="20">
        <f>ROUND(F12 * Assumptions!$C$15, 0)</f>
      </c>
    </row>
    <row r="13" spans="2:8" x14ac:dyDescent="0.25">
      <c r="B13" s="19" t="s">
        <v>112</v>
      </c>
      <c r="C13" s="20">
        <f>ROUND(C12 * (1 + Assumptions!$C$8), 0)</f>
      </c>
      <c r="D13" s="20">
        <f>ROUND(C13 * Assumptions!$C$12, 0)</f>
      </c>
      <c r="E13" s="20">
        <f>ROUND(D13 * Assumptions!$C$13, 0)</f>
      </c>
      <c r="F13" s="20">
        <f>ROUND(E13 * Assumptions!$C$14, 0)</f>
      </c>
      <c r="G13" s="21">
        <f>G12 + F13</f>
      </c>
      <c r="H13" s="20">
        <f>ROUND(F13 * Assumptions!$C$15, 0)</f>
      </c>
    </row>
    <row r="14" spans="2:8" x14ac:dyDescent="0.25">
      <c r="B14" s="19" t="s">
        <v>113</v>
      </c>
      <c r="C14" s="20">
        <f>ROUND(C13 * (1 + Assumptions!$C$8), 0)</f>
      </c>
      <c r="D14" s="20">
        <f>ROUND(C14 * Assumptions!$C$12, 0)</f>
      </c>
      <c r="E14" s="20">
        <f>ROUND(D14 * Assumptions!$C$13, 0)</f>
      </c>
      <c r="F14" s="20">
        <f>ROUND(E14 * Assumptions!$C$14, 0)</f>
      </c>
      <c r="G14" s="21">
        <f>G13 + F14</f>
      </c>
      <c r="H14" s="20">
        <f>ROUND(F14 * Assumptions!$C$15, 0)</f>
      </c>
    </row>
    <row r="15" spans="2:8" x14ac:dyDescent="0.25">
      <c r="B15" s="19" t="s">
        <v>114</v>
      </c>
      <c r="C15" s="20">
        <f>ROUND(C14 * (1 + Assumptions!$C$8), 0)</f>
      </c>
      <c r="D15" s="20">
        <f>ROUND(C15 * Assumptions!$C$12, 0)</f>
      </c>
      <c r="E15" s="20">
        <f>ROUND(D15 * Assumptions!$C$13, 0)</f>
      </c>
      <c r="F15" s="20">
        <f>ROUND(E15 * Assumptions!$C$14, 0)</f>
      </c>
      <c r="G15" s="21">
        <f>G14 + F15</f>
      </c>
      <c r="H15" s="20">
        <f>ROUND(F15 * Assumptions!$C$15, 0)</f>
      </c>
    </row>
    <row r="16" spans="2:8" x14ac:dyDescent="0.25">
      <c r="B16" s="19" t="s">
        <v>115</v>
      </c>
      <c r="C16" s="20">
        <f>ROUND(C15 * (1 + Assumptions!$C$8), 0)</f>
      </c>
      <c r="D16" s="20">
        <f>ROUND(C16 * Assumptions!$C$12, 0)</f>
      </c>
      <c r="E16" s="20">
        <f>ROUND(D16 * Assumptions!$C$13, 0)</f>
      </c>
      <c r="F16" s="20">
        <f>ROUND(E16 * Assumptions!$C$14, 0)</f>
      </c>
      <c r="G16" s="21">
        <f>G15 + F16</f>
      </c>
      <c r="H16" s="20">
        <f>ROUND(F16 * Assumptions!$C$15, 0)</f>
      </c>
    </row>
    <row r="17" spans="2:8" x14ac:dyDescent="0.25">
      <c r="B17" s="19" t="s">
        <v>116</v>
      </c>
      <c r="C17" s="20">
        <f>ROUND(C16 * (1 + Assumptions!$C$8), 0)</f>
      </c>
      <c r="D17" s="20">
        <f>ROUND(C17 * Assumptions!$C$12, 0)</f>
      </c>
      <c r="E17" s="20">
        <f>ROUND(D17 * Assumptions!$C$13, 0)</f>
      </c>
      <c r="F17" s="20">
        <f>ROUND(E17 * Assumptions!$C$14, 0)</f>
      </c>
      <c r="G17" s="21">
        <f>G16 + F17</f>
      </c>
      <c r="H17" s="20">
        <f>ROUND(F17 * Assumptions!$C$15, 0)</f>
      </c>
    </row>
    <row r="18" spans="1:8" x14ac:dyDescent="0.25">
      <c r="A18" t="s">
        <v>42</v>
      </c>
      <c r="B18" s="22" t="s">
        <v>117</v>
      </c>
      <c r="C18" s="23">
        <f>AVERAGE(C6:C17)</f>
      </c>
      <c r="D18" s="23">
        <f>SUM(D6:D17)</f>
      </c>
      <c r="E18" s="23">
        <f>SUM(E6:E17)</f>
      </c>
      <c r="F18" s="23">
        <f>SUM(F6:F17)</f>
      </c>
      <c r="G18" s="23">
        <f>G17</f>
      </c>
      <c r="H18" s="23">
        <f>SUM(H6:H17)</f>
      </c>
    </row>
  </sheetData>
  <mergeCells count="2">
    <mergeCell ref="B2:H2"/>
    <mergeCell ref="B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</sheetPr>
  <dimension ref="A2:L18"/>
  <sheetFormatPr defaultRowHeight="15" outlineLevelRow="0" outlineLevelCol="0" x14ac:dyDescent="55"/>
  <cols>
    <col min="1" max="1" width="4" customWidth="1"/>
    <col min="2" max="2" width="12" customWidth="1"/>
    <col min="3" max="5" width="16" customWidth="1"/>
    <col min="6" max="10" width="18" customWidth="1"/>
    <col min="11" max="11" width="20" customWidth="1"/>
    <col min="12" max="12" width="18" customWidth="1"/>
  </cols>
  <sheetData>
    <row r="2" spans="2:12" x14ac:dyDescent="0.25">
      <c r="B2" s="6" t="s">
        <v>118</v>
      </c>
      <c r="C2" s="6"/>
      <c r="D2" s="6"/>
      <c r="E2" s="6"/>
      <c r="F2" s="6"/>
      <c r="G2" s="6"/>
      <c r="H2" s="6"/>
      <c r="I2" s="6"/>
      <c r="J2" s="6"/>
      <c r="K2" s="6"/>
      <c r="L2" s="6"/>
    </row>
    <row r="3" spans="2:12" x14ac:dyDescent="0.25">
      <c r="B3" s="7" t="s">
        <v>119</v>
      </c>
      <c r="C3" s="7"/>
      <c r="D3" s="7"/>
      <c r="E3" s="7"/>
      <c r="F3" s="7"/>
      <c r="G3" s="7"/>
      <c r="H3" s="7"/>
      <c r="I3" s="7"/>
      <c r="J3" s="7"/>
      <c r="K3" s="7"/>
      <c r="L3" s="7"/>
    </row>
    <row r="5" spans="1:12" x14ac:dyDescent="0.25">
      <c r="A5" t="s">
        <v>42</v>
      </c>
      <c r="B5" s="8" t="s">
        <v>98</v>
      </c>
      <c r="C5" s="8" t="s">
        <v>120</v>
      </c>
      <c r="D5" s="8" t="s">
        <v>121</v>
      </c>
      <c r="E5" s="8" t="s">
        <v>122</v>
      </c>
      <c r="F5" s="8" t="s">
        <v>123</v>
      </c>
      <c r="G5" s="8" t="s">
        <v>124</v>
      </c>
      <c r="H5" s="8" t="s">
        <v>125</v>
      </c>
      <c r="I5" s="8" t="s">
        <v>126</v>
      </c>
      <c r="J5" s="8" t="s">
        <v>127</v>
      </c>
      <c r="K5" s="8" t="s">
        <v>128</v>
      </c>
      <c r="L5" s="8" t="s">
        <v>129</v>
      </c>
    </row>
    <row r="6" spans="2:12" x14ac:dyDescent="0.25">
      <c r="B6" s="19" t="s">
        <v>105</v>
      </c>
      <c r="C6" s="20">
        <f>'Adoption Model'!F6 * Assumptions!$C$24</f>
      </c>
      <c r="D6" s="24">
        <f>(C6 * Assumptions!$C$22) / 1000000</f>
      </c>
      <c r="E6" s="24">
        <f>(C6 * Assumptions!$C$23) / 1000000</f>
      </c>
      <c r="F6" s="25">
        <f>D6 * Assumptions!$C$19 * Assumptions!$C$21</f>
      </c>
      <c r="G6" s="25">
        <f>E6 * Assumptions!$C$20 * Assumptions!$C$21</f>
      </c>
      <c r="H6" s="26">
        <f>F6 + G6</f>
      </c>
      <c r="I6" s="25">
        <f>'Adoption Model'!C6 * Assumptions!$C$26</f>
      </c>
      <c r="J6" s="25">
        <f>Assumptions!$C$27</f>
      </c>
      <c r="K6" s="27">
        <f>H6 + I6 + J6</f>
      </c>
      <c r="L6" s="25">
        <f>IF('Adoption Model'!F6&gt;0, K6 / 'Adoption Model'!F6, 0)</f>
      </c>
    </row>
    <row r="7" spans="2:12" x14ac:dyDescent="0.25">
      <c r="B7" s="19" t="s">
        <v>106</v>
      </c>
      <c r="C7" s="20">
        <f>'Adoption Model'!F7 * Assumptions!$C$24</f>
      </c>
      <c r="D7" s="24">
        <f>(C7 * Assumptions!$C$22) / 1000000</f>
      </c>
      <c r="E7" s="24">
        <f>(C7 * Assumptions!$C$23) / 1000000</f>
      </c>
      <c r="F7" s="25">
        <f>D7 * Assumptions!$C$19 * Assumptions!$C$21</f>
      </c>
      <c r="G7" s="25">
        <f>E7 * Assumptions!$C$20 * Assumptions!$C$21</f>
      </c>
      <c r="H7" s="26">
        <f>F7 + G7</f>
      </c>
      <c r="I7" s="25">
        <f>'Adoption Model'!C7 * Assumptions!$C$26</f>
      </c>
      <c r="J7" s="25">
        <f>Assumptions!$C$27</f>
      </c>
      <c r="K7" s="27">
        <f>H7 + I7 + J7</f>
      </c>
      <c r="L7" s="25">
        <f>IF('Adoption Model'!F7&gt;0, K7 / 'Adoption Model'!F7, 0)</f>
      </c>
    </row>
    <row r="8" spans="2:12" x14ac:dyDescent="0.25">
      <c r="B8" s="19" t="s">
        <v>107</v>
      </c>
      <c r="C8" s="20">
        <f>'Adoption Model'!F8 * Assumptions!$C$24</f>
      </c>
      <c r="D8" s="24">
        <f>(C8 * Assumptions!$C$22) / 1000000</f>
      </c>
      <c r="E8" s="24">
        <f>(C8 * Assumptions!$C$23) / 1000000</f>
      </c>
      <c r="F8" s="25">
        <f>D8 * Assumptions!$C$19 * Assumptions!$C$21</f>
      </c>
      <c r="G8" s="25">
        <f>E8 * Assumptions!$C$20 * Assumptions!$C$21</f>
      </c>
      <c r="H8" s="26">
        <f>F8 + G8</f>
      </c>
      <c r="I8" s="25">
        <f>'Adoption Model'!C8 * Assumptions!$C$26</f>
      </c>
      <c r="J8" s="25">
        <f>Assumptions!$C$27</f>
      </c>
      <c r="K8" s="27">
        <f>H8 + I8 + J8</f>
      </c>
      <c r="L8" s="25">
        <f>IF('Adoption Model'!F8&gt;0, K8 / 'Adoption Model'!F8, 0)</f>
      </c>
    </row>
    <row r="9" spans="2:12" x14ac:dyDescent="0.25">
      <c r="B9" s="19" t="s">
        <v>108</v>
      </c>
      <c r="C9" s="20">
        <f>'Adoption Model'!F9 * Assumptions!$C$24</f>
      </c>
      <c r="D9" s="24">
        <f>(C9 * Assumptions!$C$22) / 1000000</f>
      </c>
      <c r="E9" s="24">
        <f>(C9 * Assumptions!$C$23) / 1000000</f>
      </c>
      <c r="F9" s="25">
        <f>D9 * Assumptions!$C$19 * Assumptions!$C$21</f>
      </c>
      <c r="G9" s="25">
        <f>E9 * Assumptions!$C$20 * Assumptions!$C$21</f>
      </c>
      <c r="H9" s="26">
        <f>F9 + G9</f>
      </c>
      <c r="I9" s="25">
        <f>'Adoption Model'!C9 * Assumptions!$C$26</f>
      </c>
      <c r="J9" s="25">
        <f>Assumptions!$C$27</f>
      </c>
      <c r="K9" s="27">
        <f>H9 + I9 + J9</f>
      </c>
      <c r="L9" s="25">
        <f>IF('Adoption Model'!F9&gt;0, K9 / 'Adoption Model'!F9, 0)</f>
      </c>
    </row>
    <row r="10" spans="2:12" x14ac:dyDescent="0.25">
      <c r="B10" s="19" t="s">
        <v>109</v>
      </c>
      <c r="C10" s="20">
        <f>'Adoption Model'!F10 * Assumptions!$C$24</f>
      </c>
      <c r="D10" s="24">
        <f>(C10 * Assumptions!$C$22) / 1000000</f>
      </c>
      <c r="E10" s="24">
        <f>(C10 * Assumptions!$C$23) / 1000000</f>
      </c>
      <c r="F10" s="25">
        <f>D10 * Assumptions!$C$19 * Assumptions!$C$21</f>
      </c>
      <c r="G10" s="25">
        <f>E10 * Assumptions!$C$20 * Assumptions!$C$21</f>
      </c>
      <c r="H10" s="26">
        <f>F10 + G10</f>
      </c>
      <c r="I10" s="25">
        <f>'Adoption Model'!C10 * Assumptions!$C$26</f>
      </c>
      <c r="J10" s="25">
        <f>Assumptions!$C$27</f>
      </c>
      <c r="K10" s="27">
        <f>H10 + I10 + J10</f>
      </c>
      <c r="L10" s="25">
        <f>IF('Adoption Model'!F10&gt;0, K10 / 'Adoption Model'!F10, 0)</f>
      </c>
    </row>
    <row r="11" spans="2:12" x14ac:dyDescent="0.25">
      <c r="B11" s="19" t="s">
        <v>110</v>
      </c>
      <c r="C11" s="20">
        <f>'Adoption Model'!F11 * Assumptions!$C$24</f>
      </c>
      <c r="D11" s="24">
        <f>(C11 * Assumptions!$C$22) / 1000000</f>
      </c>
      <c r="E11" s="24">
        <f>(C11 * Assumptions!$C$23) / 1000000</f>
      </c>
      <c r="F11" s="25">
        <f>D11 * Assumptions!$C$19 * Assumptions!$C$21</f>
      </c>
      <c r="G11" s="25">
        <f>E11 * Assumptions!$C$20 * Assumptions!$C$21</f>
      </c>
      <c r="H11" s="26">
        <f>F11 + G11</f>
      </c>
      <c r="I11" s="25">
        <f>'Adoption Model'!C11 * Assumptions!$C$26</f>
      </c>
      <c r="J11" s="25">
        <f>Assumptions!$C$27</f>
      </c>
      <c r="K11" s="27">
        <f>H11 + I11 + J11</f>
      </c>
      <c r="L11" s="25">
        <f>IF('Adoption Model'!F11&gt;0, K11 / 'Adoption Model'!F11, 0)</f>
      </c>
    </row>
    <row r="12" spans="2:12" x14ac:dyDescent="0.25">
      <c r="B12" s="19" t="s">
        <v>111</v>
      </c>
      <c r="C12" s="20">
        <f>'Adoption Model'!F12 * Assumptions!$C$24</f>
      </c>
      <c r="D12" s="24">
        <f>(C12 * Assumptions!$C$22) / 1000000</f>
      </c>
      <c r="E12" s="24">
        <f>(C12 * Assumptions!$C$23) / 1000000</f>
      </c>
      <c r="F12" s="25">
        <f>D12 * Assumptions!$C$19 * Assumptions!$C$21</f>
      </c>
      <c r="G12" s="25">
        <f>E12 * Assumptions!$C$20 * Assumptions!$C$21</f>
      </c>
      <c r="H12" s="26">
        <f>F12 + G12</f>
      </c>
      <c r="I12" s="25">
        <f>'Adoption Model'!C12 * Assumptions!$C$26</f>
      </c>
      <c r="J12" s="25">
        <f>Assumptions!$C$27</f>
      </c>
      <c r="K12" s="27">
        <f>H12 + I12 + J12</f>
      </c>
      <c r="L12" s="25">
        <f>IF('Adoption Model'!F12&gt;0, K12 / 'Adoption Model'!F12, 0)</f>
      </c>
    </row>
    <row r="13" spans="2:12" x14ac:dyDescent="0.25">
      <c r="B13" s="19" t="s">
        <v>112</v>
      </c>
      <c r="C13" s="20">
        <f>'Adoption Model'!F13 * Assumptions!$C$24</f>
      </c>
      <c r="D13" s="24">
        <f>(C13 * Assumptions!$C$22) / 1000000</f>
      </c>
      <c r="E13" s="24">
        <f>(C13 * Assumptions!$C$23) / 1000000</f>
      </c>
      <c r="F13" s="25">
        <f>D13 * Assumptions!$C$19 * Assumptions!$C$21</f>
      </c>
      <c r="G13" s="25">
        <f>E13 * Assumptions!$C$20 * Assumptions!$C$21</f>
      </c>
      <c r="H13" s="26">
        <f>F13 + G13</f>
      </c>
      <c r="I13" s="25">
        <f>'Adoption Model'!C13 * Assumptions!$C$26</f>
      </c>
      <c r="J13" s="25">
        <f>Assumptions!$C$27</f>
      </c>
      <c r="K13" s="27">
        <f>H13 + I13 + J13</f>
      </c>
      <c r="L13" s="25">
        <f>IF('Adoption Model'!F13&gt;0, K13 / 'Adoption Model'!F13, 0)</f>
      </c>
    </row>
    <row r="14" spans="2:12" x14ac:dyDescent="0.25">
      <c r="B14" s="19" t="s">
        <v>113</v>
      </c>
      <c r="C14" s="20">
        <f>'Adoption Model'!F14 * Assumptions!$C$24</f>
      </c>
      <c r="D14" s="24">
        <f>(C14 * Assumptions!$C$22) / 1000000</f>
      </c>
      <c r="E14" s="24">
        <f>(C14 * Assumptions!$C$23) / 1000000</f>
      </c>
      <c r="F14" s="25">
        <f>D14 * Assumptions!$C$19 * Assumptions!$C$21</f>
      </c>
      <c r="G14" s="25">
        <f>E14 * Assumptions!$C$20 * Assumptions!$C$21</f>
      </c>
      <c r="H14" s="26">
        <f>F14 + G14</f>
      </c>
      <c r="I14" s="25">
        <f>'Adoption Model'!C14 * Assumptions!$C$26</f>
      </c>
      <c r="J14" s="25">
        <f>Assumptions!$C$27</f>
      </c>
      <c r="K14" s="27">
        <f>H14 + I14 + J14</f>
      </c>
      <c r="L14" s="25">
        <f>IF('Adoption Model'!F14&gt;0, K14 / 'Adoption Model'!F14, 0)</f>
      </c>
    </row>
    <row r="15" spans="2:12" x14ac:dyDescent="0.25">
      <c r="B15" s="19" t="s">
        <v>114</v>
      </c>
      <c r="C15" s="20">
        <f>'Adoption Model'!F15 * Assumptions!$C$24</f>
      </c>
      <c r="D15" s="24">
        <f>(C15 * Assumptions!$C$22) / 1000000</f>
      </c>
      <c r="E15" s="24">
        <f>(C15 * Assumptions!$C$23) / 1000000</f>
      </c>
      <c r="F15" s="25">
        <f>D15 * Assumptions!$C$19 * Assumptions!$C$21</f>
      </c>
      <c r="G15" s="25">
        <f>E15 * Assumptions!$C$20 * Assumptions!$C$21</f>
      </c>
      <c r="H15" s="26">
        <f>F15 + G15</f>
      </c>
      <c r="I15" s="25">
        <f>'Adoption Model'!C15 * Assumptions!$C$26</f>
      </c>
      <c r="J15" s="25">
        <f>Assumptions!$C$27</f>
      </c>
      <c r="K15" s="27">
        <f>H15 + I15 + J15</f>
      </c>
      <c r="L15" s="25">
        <f>IF('Adoption Model'!F15&gt;0, K15 / 'Adoption Model'!F15, 0)</f>
      </c>
    </row>
    <row r="16" spans="2:12" x14ac:dyDescent="0.25">
      <c r="B16" s="19" t="s">
        <v>115</v>
      </c>
      <c r="C16" s="20">
        <f>'Adoption Model'!F16 * Assumptions!$C$24</f>
      </c>
      <c r="D16" s="24">
        <f>(C16 * Assumptions!$C$22) / 1000000</f>
      </c>
      <c r="E16" s="24">
        <f>(C16 * Assumptions!$C$23) / 1000000</f>
      </c>
      <c r="F16" s="25">
        <f>D16 * Assumptions!$C$19 * Assumptions!$C$21</f>
      </c>
      <c r="G16" s="25">
        <f>E16 * Assumptions!$C$20 * Assumptions!$C$21</f>
      </c>
      <c r="H16" s="26">
        <f>F16 + G16</f>
      </c>
      <c r="I16" s="25">
        <f>'Adoption Model'!C16 * Assumptions!$C$26</f>
      </c>
      <c r="J16" s="25">
        <f>Assumptions!$C$27</f>
      </c>
      <c r="K16" s="27">
        <f>H16 + I16 + J16</f>
      </c>
      <c r="L16" s="25">
        <f>IF('Adoption Model'!F16&gt;0, K16 / 'Adoption Model'!F16, 0)</f>
      </c>
    </row>
    <row r="17" spans="2:12" x14ac:dyDescent="0.25">
      <c r="B17" s="19" t="s">
        <v>116</v>
      </c>
      <c r="C17" s="20">
        <f>'Adoption Model'!F17 * Assumptions!$C$24</f>
      </c>
      <c r="D17" s="24">
        <f>(C17 * Assumptions!$C$22) / 1000000</f>
      </c>
      <c r="E17" s="24">
        <f>(C17 * Assumptions!$C$23) / 1000000</f>
      </c>
      <c r="F17" s="25">
        <f>D17 * Assumptions!$C$19 * Assumptions!$C$21</f>
      </c>
      <c r="G17" s="25">
        <f>E17 * Assumptions!$C$20 * Assumptions!$C$21</f>
      </c>
      <c r="H17" s="26">
        <f>F17 + G17</f>
      </c>
      <c r="I17" s="25">
        <f>'Adoption Model'!C17 * Assumptions!$C$26</f>
      </c>
      <c r="J17" s="25">
        <f>Assumptions!$C$27</f>
      </c>
      <c r="K17" s="27">
        <f>H17 + I17 + J17</f>
      </c>
      <c r="L17" s="25">
        <f>IF('Adoption Model'!F17&gt;0, K17 / 'Adoption Model'!F17, 0)</f>
      </c>
    </row>
    <row r="18" spans="1:12" x14ac:dyDescent="0.25">
      <c r="A18" t="s">
        <v>42</v>
      </c>
      <c r="B18" s="22" t="s">
        <v>130</v>
      </c>
      <c r="C18" s="23">
        <f>SUM(C6:C17)</f>
      </c>
      <c r="D18" s="28">
        <f>SUM(D6:D17)</f>
      </c>
      <c r="E18" s="28">
        <f>SUM(E6:E17)</f>
      </c>
      <c r="F18" s="29">
        <f>SUM(F6:F17)</f>
      </c>
      <c r="G18" s="29">
        <f>SUM(G6:G17)</f>
      </c>
      <c r="H18" s="29">
        <f>SUM(H6:H17)</f>
      </c>
      <c r="I18" s="29">
        <f>SUM(I6:I17)</f>
      </c>
      <c r="J18" s="29">
        <f>SUM(J6:J17)</f>
      </c>
      <c r="K18" s="29">
        <f>SUM(K6:K17)</f>
      </c>
      <c r="L18" s="29">
        <f>K18 / 'Adoption Model'!F18</f>
      </c>
    </row>
  </sheetData>
  <mergeCells count="2">
    <mergeCell ref="B2:L2"/>
    <mergeCell ref="B3:L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2:K32"/>
  <sheetFormatPr defaultRowHeight="15" outlineLevelRow="0" outlineLevelCol="0" x14ac:dyDescent="55"/>
  <cols>
    <col min="1" max="1" width="4" customWidth="1"/>
    <col min="2" max="2" width="12" customWidth="1"/>
    <col min="3" max="4" width="16" customWidth="1"/>
    <col min="5" max="5" width="18" customWidth="1"/>
    <col min="6" max="8" width="22" customWidth="1"/>
    <col min="9" max="9" width="20" customWidth="1"/>
    <col min="10" max="10" width="22" customWidth="1"/>
    <col min="11" max="11" width="18" customWidth="1"/>
  </cols>
  <sheetData>
    <row r="2" spans="2:11" x14ac:dyDescent="0.25">
      <c r="B2" s="6" t="s">
        <v>131</v>
      </c>
      <c r="C2" s="6"/>
      <c r="D2" s="6"/>
      <c r="E2" s="6"/>
      <c r="F2" s="6"/>
      <c r="G2" s="6"/>
      <c r="H2" s="6"/>
      <c r="I2" s="6"/>
      <c r="J2" s="6"/>
      <c r="K2" s="6"/>
    </row>
    <row r="3" spans="2:11" x14ac:dyDescent="0.25">
      <c r="B3" s="7" t="s">
        <v>132</v>
      </c>
      <c r="C3" s="7"/>
      <c r="D3" s="7"/>
      <c r="E3" s="7"/>
      <c r="F3" s="7"/>
      <c r="G3" s="7"/>
      <c r="H3" s="7"/>
      <c r="I3" s="7"/>
      <c r="J3" s="7"/>
      <c r="K3" s="7"/>
    </row>
    <row r="5" spans="1:11" x14ac:dyDescent="0.25">
      <c r="A5" t="s">
        <v>42</v>
      </c>
      <c r="B5" s="8" t="s">
        <v>98</v>
      </c>
      <c r="C5" s="8" t="s">
        <v>133</v>
      </c>
      <c r="D5" s="8" t="s">
        <v>134</v>
      </c>
      <c r="E5" s="8" t="s">
        <v>135</v>
      </c>
      <c r="F5" s="8" t="s">
        <v>136</v>
      </c>
      <c r="G5" s="8" t="s">
        <v>137</v>
      </c>
      <c r="H5" s="8" t="s">
        <v>138</v>
      </c>
      <c r="I5" s="8" t="s">
        <v>139</v>
      </c>
      <c r="J5" s="8" t="s">
        <v>140</v>
      </c>
      <c r="K5" s="8" t="s">
        <v>141</v>
      </c>
    </row>
    <row r="6" spans="2:11" x14ac:dyDescent="0.25">
      <c r="B6" s="19" t="s">
        <v>105</v>
      </c>
      <c r="C6" s="20">
        <f>'Adoption Model'!F6</f>
      </c>
      <c r="D6" s="30">
        <f>Assumptions!$C$16</f>
      </c>
      <c r="E6" s="20">
        <f>ROUND(C6 * D6, 0)</f>
      </c>
      <c r="F6" s="21">
        <f>E6</f>
      </c>
      <c r="G6" s="25">
        <f>F6 * Assumptions!$C$9</f>
      </c>
      <c r="H6" s="26">
        <f>G6</f>
      </c>
      <c r="I6" s="25">
        <f>'AI and Infrastructure Cost'!K6</f>
      </c>
      <c r="J6" s="27">
        <f>G6 - I6</f>
      </c>
      <c r="K6" s="31">
        <f>IF(G6&gt;0, J6 / G6, 0)</f>
      </c>
    </row>
    <row r="7" spans="2:11" x14ac:dyDescent="0.25">
      <c r="B7" s="19" t="s">
        <v>106</v>
      </c>
      <c r="C7" s="20">
        <f>'Adoption Model'!F7</f>
      </c>
      <c r="D7" s="30">
        <f>Assumptions!$C$16</f>
      </c>
      <c r="E7" s="20">
        <f>ROUND(C7 * D7, 0)</f>
      </c>
      <c r="F7" s="21">
        <f>ROUND(F6 * (1 - Assumptions!$C$10), 0) + E7</f>
      </c>
      <c r="G7" s="25">
        <f>F7 * Assumptions!$C$9</f>
      </c>
      <c r="H7" s="26">
        <f>H6 + G7</f>
      </c>
      <c r="I7" s="25">
        <f>'AI and Infrastructure Cost'!K7</f>
      </c>
      <c r="J7" s="27">
        <f>G7 - I7</f>
      </c>
      <c r="K7" s="31">
        <f>IF(G7&gt;0, J7 / G7, 0)</f>
      </c>
    </row>
    <row r="8" spans="2:11" x14ac:dyDescent="0.25">
      <c r="B8" s="19" t="s">
        <v>107</v>
      </c>
      <c r="C8" s="20">
        <f>'Adoption Model'!F8</f>
      </c>
      <c r="D8" s="30">
        <f>Assumptions!$C$16</f>
      </c>
      <c r="E8" s="20">
        <f>ROUND(C8 * D8, 0)</f>
      </c>
      <c r="F8" s="21">
        <f>ROUND(F7 * (1 - Assumptions!$C$10), 0) + E8</f>
      </c>
      <c r="G8" s="25">
        <f>F8 * Assumptions!$C$9</f>
      </c>
      <c r="H8" s="26">
        <f>H7 + G8</f>
      </c>
      <c r="I8" s="25">
        <f>'AI and Infrastructure Cost'!K8</f>
      </c>
      <c r="J8" s="27">
        <f>G8 - I8</f>
      </c>
      <c r="K8" s="31">
        <f>IF(G8&gt;0, J8 / G8, 0)</f>
      </c>
    </row>
    <row r="9" spans="2:11" x14ac:dyDescent="0.25">
      <c r="B9" s="19" t="s">
        <v>108</v>
      </c>
      <c r="C9" s="20">
        <f>'Adoption Model'!F9</f>
      </c>
      <c r="D9" s="30">
        <f>Assumptions!$C$16</f>
      </c>
      <c r="E9" s="20">
        <f>ROUND(C9 * D9, 0)</f>
      </c>
      <c r="F9" s="21">
        <f>ROUND(F8 * (1 - Assumptions!$C$10), 0) + E9</f>
      </c>
      <c r="G9" s="25">
        <f>F9 * Assumptions!$C$9</f>
      </c>
      <c r="H9" s="26">
        <f>H8 + G9</f>
      </c>
      <c r="I9" s="25">
        <f>'AI and Infrastructure Cost'!K9</f>
      </c>
      <c r="J9" s="27">
        <f>G9 - I9</f>
      </c>
      <c r="K9" s="31">
        <f>IF(G9&gt;0, J9 / G9, 0)</f>
      </c>
    </row>
    <row r="10" spans="2:11" x14ac:dyDescent="0.25">
      <c r="B10" s="19" t="s">
        <v>109</v>
      </c>
      <c r="C10" s="20">
        <f>'Adoption Model'!F10</f>
      </c>
      <c r="D10" s="30">
        <f>Assumptions!$C$16</f>
      </c>
      <c r="E10" s="20">
        <f>ROUND(C10 * D10, 0)</f>
      </c>
      <c r="F10" s="21">
        <f>ROUND(F9 * (1 - Assumptions!$C$10), 0) + E10</f>
      </c>
      <c r="G10" s="25">
        <f>F10 * Assumptions!$C$9</f>
      </c>
      <c r="H10" s="26">
        <f>H9 + G10</f>
      </c>
      <c r="I10" s="25">
        <f>'AI and Infrastructure Cost'!K10</f>
      </c>
      <c r="J10" s="27">
        <f>G10 - I10</f>
      </c>
      <c r="K10" s="31">
        <f>IF(G10&gt;0, J10 / G10, 0)</f>
      </c>
    </row>
    <row r="11" spans="2:11" x14ac:dyDescent="0.25">
      <c r="B11" s="19" t="s">
        <v>110</v>
      </c>
      <c r="C11" s="20">
        <f>'Adoption Model'!F11</f>
      </c>
      <c r="D11" s="30">
        <f>Assumptions!$C$16</f>
      </c>
      <c r="E11" s="20">
        <f>ROUND(C11 * D11, 0)</f>
      </c>
      <c r="F11" s="21">
        <f>ROUND(F10 * (1 - Assumptions!$C$10), 0) + E11</f>
      </c>
      <c r="G11" s="25">
        <f>F11 * Assumptions!$C$9</f>
      </c>
      <c r="H11" s="26">
        <f>H10 + G11</f>
      </c>
      <c r="I11" s="25">
        <f>'AI and Infrastructure Cost'!K11</f>
      </c>
      <c r="J11" s="27">
        <f>G11 - I11</f>
      </c>
      <c r="K11" s="31">
        <f>IF(G11&gt;0, J11 / G11, 0)</f>
      </c>
    </row>
    <row r="12" spans="2:11" x14ac:dyDescent="0.25">
      <c r="B12" s="19" t="s">
        <v>111</v>
      </c>
      <c r="C12" s="20">
        <f>'Adoption Model'!F12</f>
      </c>
      <c r="D12" s="30">
        <f>Assumptions!$C$16</f>
      </c>
      <c r="E12" s="20">
        <f>ROUND(C12 * D12, 0)</f>
      </c>
      <c r="F12" s="21">
        <f>ROUND(F11 * (1 - Assumptions!$C$10), 0) + E12</f>
      </c>
      <c r="G12" s="25">
        <f>F12 * Assumptions!$C$9</f>
      </c>
      <c r="H12" s="26">
        <f>H11 + G12</f>
      </c>
      <c r="I12" s="25">
        <f>'AI and Infrastructure Cost'!K12</f>
      </c>
      <c r="J12" s="27">
        <f>G12 - I12</f>
      </c>
      <c r="K12" s="31">
        <f>IF(G12&gt;0, J12 / G12, 0)</f>
      </c>
    </row>
    <row r="13" spans="2:11" x14ac:dyDescent="0.25">
      <c r="B13" s="19" t="s">
        <v>112</v>
      </c>
      <c r="C13" s="20">
        <f>'Adoption Model'!F13</f>
      </c>
      <c r="D13" s="30">
        <f>Assumptions!$C$16</f>
      </c>
      <c r="E13" s="20">
        <f>ROUND(C13 * D13, 0)</f>
      </c>
      <c r="F13" s="21">
        <f>ROUND(F12 * (1 - Assumptions!$C$10), 0) + E13</f>
      </c>
      <c r="G13" s="25">
        <f>F13 * Assumptions!$C$9</f>
      </c>
      <c r="H13" s="26">
        <f>H12 + G13</f>
      </c>
      <c r="I13" s="25">
        <f>'AI and Infrastructure Cost'!K13</f>
      </c>
      <c r="J13" s="27">
        <f>G13 - I13</f>
      </c>
      <c r="K13" s="31">
        <f>IF(G13&gt;0, J13 / G13, 0)</f>
      </c>
    </row>
    <row r="14" spans="2:11" x14ac:dyDescent="0.25">
      <c r="B14" s="19" t="s">
        <v>113</v>
      </c>
      <c r="C14" s="20">
        <f>'Adoption Model'!F14</f>
      </c>
      <c r="D14" s="30">
        <f>Assumptions!$C$16</f>
      </c>
      <c r="E14" s="20">
        <f>ROUND(C14 * D14, 0)</f>
      </c>
      <c r="F14" s="21">
        <f>ROUND(F13 * (1 - Assumptions!$C$10), 0) + E14</f>
      </c>
      <c r="G14" s="25">
        <f>F14 * Assumptions!$C$9</f>
      </c>
      <c r="H14" s="26">
        <f>H13 + G14</f>
      </c>
      <c r="I14" s="25">
        <f>'AI and Infrastructure Cost'!K14</f>
      </c>
      <c r="J14" s="27">
        <f>G14 - I14</f>
      </c>
      <c r="K14" s="31">
        <f>IF(G14&gt;0, J14 / G14, 0)</f>
      </c>
    </row>
    <row r="15" spans="2:11" x14ac:dyDescent="0.25">
      <c r="B15" s="19" t="s">
        <v>114</v>
      </c>
      <c r="C15" s="20">
        <f>'Adoption Model'!F15</f>
      </c>
      <c r="D15" s="30">
        <f>Assumptions!$C$16</f>
      </c>
      <c r="E15" s="20">
        <f>ROUND(C15 * D15, 0)</f>
      </c>
      <c r="F15" s="21">
        <f>ROUND(F14 * (1 - Assumptions!$C$10), 0) + E15</f>
      </c>
      <c r="G15" s="25">
        <f>F15 * Assumptions!$C$9</f>
      </c>
      <c r="H15" s="26">
        <f>H14 + G15</f>
      </c>
      <c r="I15" s="25">
        <f>'AI and Infrastructure Cost'!K15</f>
      </c>
      <c r="J15" s="27">
        <f>G15 - I15</f>
      </c>
      <c r="K15" s="31">
        <f>IF(G15&gt;0, J15 / G15, 0)</f>
      </c>
    </row>
    <row r="16" spans="2:11" x14ac:dyDescent="0.25">
      <c r="B16" s="19" t="s">
        <v>115</v>
      </c>
      <c r="C16" s="20">
        <f>'Adoption Model'!F16</f>
      </c>
      <c r="D16" s="30">
        <f>Assumptions!$C$16</f>
      </c>
      <c r="E16" s="20">
        <f>ROUND(C16 * D16, 0)</f>
      </c>
      <c r="F16" s="21">
        <f>ROUND(F15 * (1 - Assumptions!$C$10), 0) + E16</f>
      </c>
      <c r="G16" s="25">
        <f>F16 * Assumptions!$C$9</f>
      </c>
      <c r="H16" s="26">
        <f>H15 + G16</f>
      </c>
      <c r="I16" s="25">
        <f>'AI and Infrastructure Cost'!K16</f>
      </c>
      <c r="J16" s="27">
        <f>G16 - I16</f>
      </c>
      <c r="K16" s="31">
        <f>IF(G16&gt;0, J16 / G16, 0)</f>
      </c>
    </row>
    <row r="17" spans="2:11" x14ac:dyDescent="0.25">
      <c r="B17" s="19" t="s">
        <v>116</v>
      </c>
      <c r="C17" s="20">
        <f>'Adoption Model'!F17</f>
      </c>
      <c r="D17" s="30">
        <f>Assumptions!$C$16</f>
      </c>
      <c r="E17" s="20">
        <f>ROUND(C17 * D17, 0)</f>
      </c>
      <c r="F17" s="21">
        <f>ROUND(F16 * (1 - Assumptions!$C$10), 0) + E17</f>
      </c>
      <c r="G17" s="25">
        <f>F17 * Assumptions!$C$9</f>
      </c>
      <c r="H17" s="26">
        <f>H16 + G17</f>
      </c>
      <c r="I17" s="25">
        <f>'AI and Infrastructure Cost'!K17</f>
      </c>
      <c r="J17" s="27">
        <f>G17 - I17</f>
      </c>
      <c r="K17" s="31">
        <f>IF(G17&gt;0, J17 / G17, 0)</f>
      </c>
    </row>
    <row r="18" spans="1:11" x14ac:dyDescent="0.25">
      <c r="A18" t="s">
        <v>42</v>
      </c>
      <c r="B18" s="22" t="s">
        <v>130</v>
      </c>
      <c r="C18" s="23">
        <f>SUM(C6:C17)</f>
      </c>
      <c r="D18" s="32">
        <f>AVERAGE(D6:D17)</f>
      </c>
      <c r="E18" s="23">
        <f>SUM(E6:E17)</f>
      </c>
      <c r="F18" s="23">
        <f>F17</f>
      </c>
      <c r="G18" s="29">
        <f>SUM(G6:G17)</f>
      </c>
      <c r="H18" s="29">
        <f>H17</f>
      </c>
      <c r="I18" s="29">
        <f>SUM(I6:I17)</f>
      </c>
      <c r="J18" s="29">
        <f>SUM(J6:J17)</f>
      </c>
      <c r="K18" s="32">
        <f>IF(SUM(G6:G17)&gt;0, SUM(J6:J17)/SUM(G6:G17), 0)</f>
      </c>
    </row>
    <row r="21" spans="2:11" x14ac:dyDescent="0.25">
      <c r="B21" s="9" t="s">
        <v>142</v>
      </c>
      <c r="C21" s="9"/>
      <c r="D21" s="9"/>
      <c r="E21" s="9"/>
      <c r="F21" s="9"/>
      <c r="G21" s="9"/>
      <c r="H21" s="9"/>
      <c r="I21" s="9"/>
      <c r="J21" s="9"/>
      <c r="K21" s="9"/>
    </row>
    <row r="22" spans="2:11" x14ac:dyDescent="0.25">
      <c r="B22" s="19" t="s">
        <v>143</v>
      </c>
      <c r="C22" s="19"/>
      <c r="D22" s="19"/>
      <c r="E22" s="27">
        <f>SUM(G6:G17)</f>
      </c>
      <c r="F22" s="27"/>
      <c r="G22" s="33" t="s">
        <v>144</v>
      </c>
      <c r="H22" s="33"/>
      <c r="I22" s="33"/>
      <c r="J22" s="33"/>
      <c r="K22" s="33"/>
    </row>
    <row r="23" spans="2:11" x14ac:dyDescent="0.25">
      <c r="B23" s="19" t="s">
        <v>145</v>
      </c>
      <c r="C23" s="19"/>
      <c r="D23" s="19"/>
      <c r="E23" s="27">
        <f>SUM(I6:I17)</f>
      </c>
      <c r="F23" s="27"/>
      <c r="G23" s="33" t="s">
        <v>146</v>
      </c>
      <c r="H23" s="33"/>
      <c r="I23" s="33"/>
      <c r="J23" s="33"/>
      <c r="K23" s="33"/>
    </row>
    <row r="24" spans="2:11" x14ac:dyDescent="0.25">
      <c r="B24" s="19" t="s">
        <v>147</v>
      </c>
      <c r="C24" s="19"/>
      <c r="D24" s="19"/>
      <c r="E24" s="27">
        <f>SUM(J6:J17)</f>
      </c>
      <c r="F24" s="27"/>
      <c r="G24" s="33" t="s">
        <v>148</v>
      </c>
      <c r="H24" s="33"/>
      <c r="I24" s="33"/>
      <c r="J24" s="33"/>
      <c r="K24" s="33"/>
    </row>
    <row r="25" spans="2:11" x14ac:dyDescent="0.25">
      <c r="B25" s="19" t="s">
        <v>149</v>
      </c>
      <c r="C25" s="19"/>
      <c r="D25" s="19"/>
      <c r="E25" s="34">
        <f>K18</f>
      </c>
      <c r="F25" s="34"/>
      <c r="G25" s="33" t="s">
        <v>150</v>
      </c>
      <c r="H25" s="33"/>
      <c r="I25" s="33"/>
      <c r="J25" s="33"/>
      <c r="K25" s="33"/>
    </row>
    <row r="26" spans="2:11" x14ac:dyDescent="0.25">
      <c r="B26" s="19" t="s">
        <v>151</v>
      </c>
      <c r="C26" s="19"/>
      <c r="D26" s="19"/>
      <c r="E26" s="35">
        <f>F17</f>
      </c>
      <c r="F26" s="35"/>
      <c r="G26" s="33" t="s">
        <v>152</v>
      </c>
      <c r="H26" s="33"/>
      <c r="I26" s="33"/>
      <c r="J26" s="33"/>
      <c r="K26" s="33"/>
    </row>
    <row r="27" spans="2:11" x14ac:dyDescent="0.25">
      <c r="B27" s="19" t="s">
        <v>153</v>
      </c>
      <c r="C27" s="19"/>
      <c r="D27" s="19"/>
      <c r="E27" s="27">
        <f>G17</f>
      </c>
      <c r="F27" s="27"/>
      <c r="G27" s="33" t="s">
        <v>154</v>
      </c>
      <c r="H27" s="33"/>
      <c r="I27" s="33"/>
      <c r="J27" s="33"/>
      <c r="K27" s="33"/>
    </row>
    <row r="28" spans="2:11" x14ac:dyDescent="0.25">
      <c r="B28" s="19" t="s">
        <v>155</v>
      </c>
      <c r="C28" s="19"/>
      <c r="D28" s="19"/>
      <c r="E28" s="27">
        <f>G17 * 12</f>
      </c>
      <c r="F28" s="27"/>
      <c r="G28" s="33" t="s">
        <v>156</v>
      </c>
      <c r="H28" s="33"/>
      <c r="I28" s="33"/>
      <c r="J28" s="33"/>
      <c r="K28" s="33"/>
    </row>
    <row r="29" spans="2:11" x14ac:dyDescent="0.25">
      <c r="B29" s="19" t="s">
        <v>157</v>
      </c>
      <c r="C29" s="19"/>
      <c r="D29" s="19"/>
      <c r="E29" s="27">
        <f>'AI and Infrastructure Cost'!K17</f>
      </c>
      <c r="F29" s="27"/>
      <c r="G29" s="33" t="s">
        <v>158</v>
      </c>
      <c r="H29" s="33"/>
      <c r="I29" s="33"/>
      <c r="J29" s="33"/>
      <c r="K29" s="33"/>
    </row>
    <row r="30" spans="2:11" x14ac:dyDescent="0.25">
      <c r="B30" s="19" t="s">
        <v>159</v>
      </c>
      <c r="C30" s="19"/>
      <c r="D30" s="19"/>
      <c r="E30" s="27">
        <f>'AI and Infrastructure Cost'!K17 * 12</f>
      </c>
      <c r="F30" s="27"/>
      <c r="G30" s="33" t="s">
        <v>160</v>
      </c>
      <c r="H30" s="33"/>
      <c r="I30" s="33"/>
      <c r="J30" s="33"/>
      <c r="K30" s="33"/>
    </row>
    <row r="31" spans="2:11" x14ac:dyDescent="0.25">
      <c r="B31" s="19" t="s">
        <v>161</v>
      </c>
      <c r="C31" s="19"/>
      <c r="D31" s="19"/>
      <c r="E31" s="27">
        <f>(G17 * 12) - ('AI and Infrastructure Cost'!K17 * 12)</f>
      </c>
      <c r="F31" s="27"/>
      <c r="G31" s="33" t="s">
        <v>162</v>
      </c>
      <c r="H31" s="33"/>
      <c r="I31" s="33"/>
      <c r="J31" s="33"/>
      <c r="K31" s="33"/>
    </row>
    <row r="32" spans="2:11" x14ac:dyDescent="0.25">
      <c r="B32" s="19" t="s">
        <v>163</v>
      </c>
      <c r="C32" s="19"/>
      <c r="D32" s="19"/>
      <c r="E32" s="34">
        <f>((G17 * 12) - ('AI and Infrastructure Cost'!K17 * 12)) / (G17 * 12)</f>
      </c>
      <c r="F32" s="34"/>
      <c r="G32" s="33" t="s">
        <v>164</v>
      </c>
      <c r="H32" s="33"/>
      <c r="I32" s="33"/>
      <c r="J32" s="33"/>
      <c r="K32" s="33"/>
    </row>
  </sheetData>
  <mergeCells count="36">
    <mergeCell ref="B2:K2"/>
    <mergeCell ref="B3:K3"/>
    <mergeCell ref="B21:K21"/>
    <mergeCell ref="B22:D22"/>
    <mergeCell ref="E22:F22"/>
    <mergeCell ref="G22:K22"/>
    <mergeCell ref="B23:D23"/>
    <mergeCell ref="E23:F23"/>
    <mergeCell ref="G23:K23"/>
    <mergeCell ref="B24:D24"/>
    <mergeCell ref="E24:F24"/>
    <mergeCell ref="G24:K24"/>
    <mergeCell ref="B25:D25"/>
    <mergeCell ref="E25:F25"/>
    <mergeCell ref="G25:K25"/>
    <mergeCell ref="B26:D26"/>
    <mergeCell ref="E26:F26"/>
    <mergeCell ref="G26:K26"/>
    <mergeCell ref="B27:D27"/>
    <mergeCell ref="E27:F27"/>
    <mergeCell ref="G27:K27"/>
    <mergeCell ref="B28:D28"/>
    <mergeCell ref="E28:F28"/>
    <mergeCell ref="G28:K28"/>
    <mergeCell ref="B29:D29"/>
    <mergeCell ref="E29:F29"/>
    <mergeCell ref="G29:K29"/>
    <mergeCell ref="B30:D30"/>
    <mergeCell ref="E30:F30"/>
    <mergeCell ref="G30:K30"/>
    <mergeCell ref="B31:D31"/>
    <mergeCell ref="E31:F31"/>
    <mergeCell ref="G31:K31"/>
    <mergeCell ref="B32:D32"/>
    <mergeCell ref="E32:F32"/>
    <mergeCell ref="G32:K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5CF6"/>
  </sheetPr>
  <dimension ref="A2:F27"/>
  <sheetFormatPr defaultRowHeight="15" outlineLevelRow="0" outlineLevelCol="0" x14ac:dyDescent="55"/>
  <cols>
    <col min="1" max="1" width="4" customWidth="1"/>
    <col min="2" max="2" width="28" customWidth="1"/>
    <col min="3" max="5" width="20" customWidth="1"/>
    <col min="6" max="6" width="30" customWidth="1"/>
  </cols>
  <sheetData>
    <row r="2" spans="2:6" x14ac:dyDescent="0.25">
      <c r="B2" s="6" t="s">
        <v>165</v>
      </c>
      <c r="C2" s="6"/>
      <c r="D2" s="6"/>
      <c r="E2" s="6"/>
      <c r="F2" s="6"/>
    </row>
    <row r="3" spans="2:6" x14ac:dyDescent="0.25">
      <c r="B3" s="7" t="s">
        <v>166</v>
      </c>
      <c r="C3" s="7"/>
      <c r="D3" s="7"/>
      <c r="E3" s="7"/>
      <c r="F3" s="7"/>
    </row>
    <row r="5" spans="1:6" x14ac:dyDescent="0.25">
      <c r="A5" t="s">
        <v>42</v>
      </c>
      <c r="B5" s="8" t="s">
        <v>167</v>
      </c>
      <c r="C5" s="8" t="s">
        <v>168</v>
      </c>
      <c r="D5" s="8" t="s">
        <v>169</v>
      </c>
      <c r="E5" s="8" t="s">
        <v>170</v>
      </c>
      <c r="F5" s="8" t="s">
        <v>171</v>
      </c>
    </row>
    <row r="6" spans="2:6" x14ac:dyDescent="0.25">
      <c r="B6" s="19" t="s">
        <v>172</v>
      </c>
      <c r="C6" s="30">
        <v>0.15</v>
      </c>
      <c r="D6" s="34">
        <v>0.25</v>
      </c>
      <c r="E6" s="30">
        <v>0.35</v>
      </c>
      <c r="F6" s="33" t="s">
        <v>173</v>
      </c>
    </row>
    <row r="7" spans="2:6" x14ac:dyDescent="0.25">
      <c r="B7" s="19" t="s">
        <v>174</v>
      </c>
      <c r="C7" s="30">
        <v>0.01</v>
      </c>
      <c r="D7" s="34">
        <v>0.02</v>
      </c>
      <c r="E7" s="30">
        <v>0.035</v>
      </c>
      <c r="F7" s="33" t="s">
        <v>175</v>
      </c>
    </row>
    <row r="8" spans="2:6" x14ac:dyDescent="0.25">
      <c r="B8" s="19" t="s">
        <v>176</v>
      </c>
      <c r="C8" s="20">
        <v>12</v>
      </c>
      <c r="D8" s="35">
        <v>18</v>
      </c>
      <c r="E8" s="20">
        <v>25</v>
      </c>
      <c r="F8" s="33" t="s">
        <v>177</v>
      </c>
    </row>
    <row r="9" spans="2:6" x14ac:dyDescent="0.25">
      <c r="B9" s="19" t="s">
        <v>178</v>
      </c>
      <c r="C9" s="20">
        <v>2815</v>
      </c>
      <c r="D9" s="35">
        <v>4695</v>
      </c>
      <c r="E9" s="20">
        <v>6572</v>
      </c>
      <c r="F9" s="33" t="s">
        <v>179</v>
      </c>
    </row>
    <row r="10" spans="2:6" x14ac:dyDescent="0.25">
      <c r="B10" s="19" t="s">
        <v>180</v>
      </c>
      <c r="C10" s="25">
        <v>1306572</v>
      </c>
      <c r="D10" s="27">
        <v>1307627</v>
      </c>
      <c r="E10" s="25">
        <v>1309286</v>
      </c>
      <c r="F10" s="33" t="s">
        <v>181</v>
      </c>
    </row>
    <row r="11" spans="2:6" x14ac:dyDescent="0.25">
      <c r="B11" s="19" t="s">
        <v>182</v>
      </c>
      <c r="C11" s="25">
        <v>118320</v>
      </c>
      <c r="D11" s="27">
        <v>118418</v>
      </c>
      <c r="E11" s="25">
        <v>118572</v>
      </c>
      <c r="F11" s="33" t="s">
        <v>183</v>
      </c>
    </row>
    <row r="12" spans="2:6" x14ac:dyDescent="0.25">
      <c r="B12" s="19" t="s">
        <v>159</v>
      </c>
      <c r="C12" s="25">
        <v>1419841</v>
      </c>
      <c r="D12" s="27">
        <v>1421016</v>
      </c>
      <c r="E12" s="25">
        <v>1422858</v>
      </c>
      <c r="F12" s="33" t="s">
        <v>184</v>
      </c>
    </row>
    <row r="13" spans="2:6" x14ac:dyDescent="0.25">
      <c r="B13" s="19" t="s">
        <v>185</v>
      </c>
      <c r="C13" s="25">
        <v>422859</v>
      </c>
      <c r="D13" s="27">
        <v>1475508</v>
      </c>
      <c r="E13" s="25">
        <v>3655781</v>
      </c>
      <c r="F13" s="33" t="s">
        <v>186</v>
      </c>
    </row>
    <row r="14" spans="2:6" x14ac:dyDescent="0.25">
      <c r="B14" s="19" t="s">
        <v>187</v>
      </c>
      <c r="C14" s="25">
        <v>-883713</v>
      </c>
      <c r="D14" s="27">
        <v>167881</v>
      </c>
      <c r="E14" s="25">
        <v>2346495</v>
      </c>
      <c r="F14" s="33" t="s">
        <v>188</v>
      </c>
    </row>
    <row r="15" spans="2:6" x14ac:dyDescent="0.25">
      <c r="B15" s="19" t="s">
        <v>189</v>
      </c>
      <c r="C15" s="30">
        <v>-2.09</v>
      </c>
      <c r="D15" s="34">
        <v>0.114</v>
      </c>
      <c r="E15" s="30">
        <v>0.642</v>
      </c>
      <c r="F15" s="33" t="s">
        <v>190</v>
      </c>
    </row>
    <row r="16" spans="2:6" x14ac:dyDescent="0.25">
      <c r="B16" s="19" t="s">
        <v>191</v>
      </c>
      <c r="C16" s="25">
        <v>755748</v>
      </c>
      <c r="D16" s="27">
        <v>2627124</v>
      </c>
      <c r="E16" s="25">
        <v>6441852</v>
      </c>
      <c r="F16" s="33" t="s">
        <v>192</v>
      </c>
    </row>
    <row r="17" spans="2:6" x14ac:dyDescent="0.25">
      <c r="B17" s="19" t="s">
        <v>193</v>
      </c>
      <c r="C17" s="25">
        <v>-664093</v>
      </c>
      <c r="D17" s="27">
        <v>1206108</v>
      </c>
      <c r="E17" s="25">
        <v>5018994</v>
      </c>
      <c r="F17" s="33" t="s">
        <v>194</v>
      </c>
    </row>
    <row r="18" spans="2:6" x14ac:dyDescent="0.25">
      <c r="B18" s="19" t="s">
        <v>195</v>
      </c>
      <c r="C18" s="30">
        <v>-0.879</v>
      </c>
      <c r="D18" s="34">
        <v>0.459</v>
      </c>
      <c r="E18" s="30">
        <v>0.779</v>
      </c>
      <c r="F18" s="33" t="s">
        <v>196</v>
      </c>
    </row>
    <row r="21" spans="2:6" x14ac:dyDescent="0.25">
      <c r="B21" s="9" t="s">
        <v>197</v>
      </c>
      <c r="C21" s="9"/>
      <c r="D21" s="9"/>
      <c r="E21" s="9"/>
      <c r="F21" s="9"/>
    </row>
    <row r="22" spans="1:6" x14ac:dyDescent="0.25">
      <c r="A22" t="s">
        <v>42</v>
      </c>
      <c r="B22" s="36" t="s">
        <v>198</v>
      </c>
      <c r="C22" s="36" t="s">
        <v>199</v>
      </c>
      <c r="D22" s="36" t="s">
        <v>200</v>
      </c>
      <c r="E22" s="36" t="s">
        <v>201</v>
      </c>
      <c r="F22" s="36" t="s">
        <v>202</v>
      </c>
    </row>
    <row r="23" spans="2:6" x14ac:dyDescent="0.25">
      <c r="B23" s="19" t="s">
        <v>203</v>
      </c>
      <c r="C23" s="37">
        <v>-664484</v>
      </c>
      <c r="D23" s="37">
        <v>-232628</v>
      </c>
      <c r="E23" s="38">
        <v>127252</v>
      </c>
      <c r="F23" s="39">
        <v>559108</v>
      </c>
    </row>
    <row r="24" spans="2:6" x14ac:dyDescent="0.25">
      <c r="B24" s="19" t="s">
        <v>204</v>
      </c>
      <c r="C24" s="37">
        <v>-412959</v>
      </c>
      <c r="D24" s="39">
        <v>126861</v>
      </c>
      <c r="E24" s="38">
        <v>702669</v>
      </c>
      <c r="F24" s="39">
        <v>1206501</v>
      </c>
    </row>
    <row r="25" spans="2:6" x14ac:dyDescent="0.25">
      <c r="B25" s="19" t="s">
        <v>205</v>
      </c>
      <c r="C25" s="37">
        <v>-89457</v>
      </c>
      <c r="D25" s="39">
        <v>558327</v>
      </c>
      <c r="E25" s="38">
        <v>1206108</v>
      </c>
      <c r="F25" s="39">
        <v>1853895</v>
      </c>
    </row>
    <row r="26" spans="2:6" x14ac:dyDescent="0.25">
      <c r="B26" s="19" t="s">
        <v>206</v>
      </c>
      <c r="C26" s="39">
        <v>126080</v>
      </c>
      <c r="D26" s="39">
        <v>953804</v>
      </c>
      <c r="E26" s="38">
        <v>1709552</v>
      </c>
      <c r="F26" s="39">
        <v>2537276</v>
      </c>
    </row>
    <row r="27" spans="2:6" x14ac:dyDescent="0.25">
      <c r="B27" s="19" t="s">
        <v>207</v>
      </c>
      <c r="C27" s="39">
        <v>449581</v>
      </c>
      <c r="D27" s="39">
        <v>1349281</v>
      </c>
      <c r="E27" s="38">
        <v>2248981</v>
      </c>
      <c r="F27" s="39">
        <v>3220657</v>
      </c>
    </row>
  </sheetData>
  <mergeCells count="3">
    <mergeCell ref="B2:F2"/>
    <mergeCell ref="B3:F3"/>
    <mergeCell ref="B21:F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C4899"/>
  </sheetPr>
  <dimension ref="A2:G25"/>
  <sheetFormatPr defaultRowHeight="15" outlineLevelRow="0" outlineLevelCol="0" x14ac:dyDescent="55"/>
  <cols>
    <col min="1" max="1" width="4" customWidth="1"/>
    <col min="2" max="2" width="12" customWidth="1"/>
    <col min="3" max="6" width="28" customWidth="1"/>
    <col min="7" max="7" width="25" customWidth="1"/>
  </cols>
  <sheetData>
    <row r="2" spans="2:7" x14ac:dyDescent="0.25">
      <c r="B2" s="6" t="s">
        <v>208</v>
      </c>
      <c r="C2" s="6"/>
      <c r="D2" s="6"/>
      <c r="E2" s="6"/>
      <c r="F2" s="6"/>
      <c r="G2" s="6"/>
    </row>
    <row r="3" spans="2:7" x14ac:dyDescent="0.25">
      <c r="B3" s="7" t="s">
        <v>209</v>
      </c>
      <c r="C3" s="7"/>
      <c r="D3" s="7"/>
      <c r="E3" s="7"/>
      <c r="F3" s="7"/>
      <c r="G3" s="7"/>
    </row>
    <row r="5" spans="1:7" x14ac:dyDescent="0.25">
      <c r="A5" t="s">
        <v>42</v>
      </c>
      <c r="B5" s="8" t="s">
        <v>98</v>
      </c>
      <c r="C5" s="8" t="s">
        <v>210</v>
      </c>
      <c r="D5" s="8" t="s">
        <v>211</v>
      </c>
      <c r="E5" s="8" t="s">
        <v>212</v>
      </c>
      <c r="F5" s="8" t="s">
        <v>213</v>
      </c>
      <c r="G5" s="8" t="s">
        <v>214</v>
      </c>
    </row>
    <row r="6" spans="2:7" x14ac:dyDescent="0.25">
      <c r="B6" s="19" t="s">
        <v>105</v>
      </c>
      <c r="C6" s="40">
        <f>IF('Adoption Model'!D6&lt;='Adoption Model'!C6, "PASS", "FAIL")</f>
      </c>
      <c r="D6" s="40">
        <f>IF('Adoption Model'!E6&lt;='Adoption Model'!D6, "PASS", "FAIL")</f>
      </c>
      <c r="E6" s="40">
        <f>IF('Adoption Model'!F6&lt;='Adoption Model'!E6, "PASS", "FAIL")</f>
      </c>
      <c r="F6" s="40" t="s">
        <v>215</v>
      </c>
      <c r="G6" s="41">
        <f>IF(AND(C6="PASS", D6="PASS", E6="PASS"), "RECONCILED", "FAIL")</f>
      </c>
    </row>
    <row r="7" spans="2:7" x14ac:dyDescent="0.25">
      <c r="B7" s="19" t="s">
        <v>106</v>
      </c>
      <c r="C7" s="40">
        <f>IF('Adoption Model'!D7&lt;='Adoption Model'!C7, "PASS", "FAIL")</f>
      </c>
      <c r="D7" s="40">
        <f>IF('Adoption Model'!E7&lt;='Adoption Model'!D7, "PASS", "FAIL")</f>
      </c>
      <c r="E7" s="40">
        <f>IF('Adoption Model'!F7&lt;='Adoption Model'!E7, "PASS", "FAIL")</f>
      </c>
      <c r="F7" s="40" t="s">
        <v>215</v>
      </c>
      <c r="G7" s="41">
        <f>IF(AND(C7="PASS", D7="PASS", E7="PASS"), "RECONCILED", "FAIL")</f>
      </c>
    </row>
    <row r="8" spans="2:7" x14ac:dyDescent="0.25">
      <c r="B8" s="19" t="s">
        <v>107</v>
      </c>
      <c r="C8" s="40">
        <f>IF('Adoption Model'!D8&lt;='Adoption Model'!C8, "PASS", "FAIL")</f>
      </c>
      <c r="D8" s="40">
        <f>IF('Adoption Model'!E8&lt;='Adoption Model'!D8, "PASS", "FAIL")</f>
      </c>
      <c r="E8" s="40">
        <f>IF('Adoption Model'!F8&lt;='Adoption Model'!E8, "PASS", "FAIL")</f>
      </c>
      <c r="F8" s="40" t="s">
        <v>215</v>
      </c>
      <c r="G8" s="41">
        <f>IF(AND(C8="PASS", D8="PASS", E8="PASS"), "RECONCILED", "FAIL")</f>
      </c>
    </row>
    <row r="9" spans="2:7" x14ac:dyDescent="0.25">
      <c r="B9" s="19" t="s">
        <v>108</v>
      </c>
      <c r="C9" s="40">
        <f>IF('Adoption Model'!D9&lt;='Adoption Model'!C9, "PASS", "FAIL")</f>
      </c>
      <c r="D9" s="40">
        <f>IF('Adoption Model'!E9&lt;='Adoption Model'!D9, "PASS", "FAIL")</f>
      </c>
      <c r="E9" s="40">
        <f>IF('Adoption Model'!F9&lt;='Adoption Model'!E9, "PASS", "FAIL")</f>
      </c>
      <c r="F9" s="40" t="s">
        <v>215</v>
      </c>
      <c r="G9" s="41">
        <f>IF(AND(C9="PASS", D9="PASS", E9="PASS"), "RECONCILED", "FAIL")</f>
      </c>
    </row>
    <row r="10" spans="2:7" x14ac:dyDescent="0.25">
      <c r="B10" s="19" t="s">
        <v>109</v>
      </c>
      <c r="C10" s="40">
        <f>IF('Adoption Model'!D10&lt;='Adoption Model'!C10, "PASS", "FAIL")</f>
      </c>
      <c r="D10" s="40">
        <f>IF('Adoption Model'!E10&lt;='Adoption Model'!D10, "PASS", "FAIL")</f>
      </c>
      <c r="E10" s="40">
        <f>IF('Adoption Model'!F10&lt;='Adoption Model'!E10, "PASS", "FAIL")</f>
      </c>
      <c r="F10" s="40" t="s">
        <v>215</v>
      </c>
      <c r="G10" s="41">
        <f>IF(AND(C10="PASS", D10="PASS", E10="PASS"), "RECONCILED", "FAIL")</f>
      </c>
    </row>
    <row r="11" spans="2:7" x14ac:dyDescent="0.25">
      <c r="B11" s="19" t="s">
        <v>110</v>
      </c>
      <c r="C11" s="40">
        <f>IF('Adoption Model'!D11&lt;='Adoption Model'!C11, "PASS", "FAIL")</f>
      </c>
      <c r="D11" s="40">
        <f>IF('Adoption Model'!E11&lt;='Adoption Model'!D11, "PASS", "FAIL")</f>
      </c>
      <c r="E11" s="40">
        <f>IF('Adoption Model'!F11&lt;='Adoption Model'!E11, "PASS", "FAIL")</f>
      </c>
      <c r="F11" s="40">
        <f>IF('Revenue and Margin'!J11&gt;0, "PASS", "ALERT: NEGATIVE CASH FLOW")</f>
      </c>
      <c r="G11" s="41">
        <f>IF(AND(C11="PASS", D11="PASS", E11="PASS"), "RECONCILED", "FAIL")</f>
      </c>
    </row>
    <row r="12" spans="2:7" x14ac:dyDescent="0.25">
      <c r="B12" s="19" t="s">
        <v>111</v>
      </c>
      <c r="C12" s="40">
        <f>IF('Adoption Model'!D12&lt;='Adoption Model'!C12, "PASS", "FAIL")</f>
      </c>
      <c r="D12" s="40">
        <f>IF('Adoption Model'!E12&lt;='Adoption Model'!D12, "PASS", "FAIL")</f>
      </c>
      <c r="E12" s="40">
        <f>IF('Adoption Model'!F12&lt;='Adoption Model'!E12, "PASS", "FAIL")</f>
      </c>
      <c r="F12" s="40">
        <f>IF('Revenue and Margin'!J12&gt;0, "PASS", "ALERT: NEGATIVE CASH FLOW")</f>
      </c>
      <c r="G12" s="41">
        <f>IF(AND(C12="PASS", D12="PASS", E12="PASS"), "RECONCILED", "FAIL")</f>
      </c>
    </row>
    <row r="13" spans="2:7" x14ac:dyDescent="0.25">
      <c r="B13" s="19" t="s">
        <v>112</v>
      </c>
      <c r="C13" s="40">
        <f>IF('Adoption Model'!D13&lt;='Adoption Model'!C13, "PASS", "FAIL")</f>
      </c>
      <c r="D13" s="40">
        <f>IF('Adoption Model'!E13&lt;='Adoption Model'!D13, "PASS", "FAIL")</f>
      </c>
      <c r="E13" s="40">
        <f>IF('Adoption Model'!F13&lt;='Adoption Model'!E13, "PASS", "FAIL")</f>
      </c>
      <c r="F13" s="40">
        <f>IF('Revenue and Margin'!J13&gt;0, "PASS", "ALERT: NEGATIVE CASH FLOW")</f>
      </c>
      <c r="G13" s="41">
        <f>IF(AND(C13="PASS", D13="PASS", E13="PASS"), "RECONCILED", "FAIL")</f>
      </c>
    </row>
    <row r="14" spans="2:7" x14ac:dyDescent="0.25">
      <c r="B14" s="19" t="s">
        <v>113</v>
      </c>
      <c r="C14" s="40">
        <f>IF('Adoption Model'!D14&lt;='Adoption Model'!C14, "PASS", "FAIL")</f>
      </c>
      <c r="D14" s="40">
        <f>IF('Adoption Model'!E14&lt;='Adoption Model'!D14, "PASS", "FAIL")</f>
      </c>
      <c r="E14" s="40">
        <f>IF('Adoption Model'!F14&lt;='Adoption Model'!E14, "PASS", "FAIL")</f>
      </c>
      <c r="F14" s="40">
        <f>IF('Revenue and Margin'!J14&gt;0, "PASS", "ALERT: NEGATIVE CASH FLOW")</f>
      </c>
      <c r="G14" s="41">
        <f>IF(AND(C14="PASS", D14="PASS", E14="PASS"), "RECONCILED", "FAIL")</f>
      </c>
    </row>
    <row r="15" spans="2:7" x14ac:dyDescent="0.25">
      <c r="B15" s="19" t="s">
        <v>114</v>
      </c>
      <c r="C15" s="40">
        <f>IF('Adoption Model'!D15&lt;='Adoption Model'!C15, "PASS", "FAIL")</f>
      </c>
      <c r="D15" s="40">
        <f>IF('Adoption Model'!E15&lt;='Adoption Model'!D15, "PASS", "FAIL")</f>
      </c>
      <c r="E15" s="40">
        <f>IF('Adoption Model'!F15&lt;='Adoption Model'!E15, "PASS", "FAIL")</f>
      </c>
      <c r="F15" s="40">
        <f>IF('Revenue and Margin'!J15&gt;0, "PASS", "ALERT: NEGATIVE CASH FLOW")</f>
      </c>
      <c r="G15" s="41">
        <f>IF(AND(C15="PASS", D15="PASS", E15="PASS"), "RECONCILED", "FAIL")</f>
      </c>
    </row>
    <row r="16" spans="2:7" x14ac:dyDescent="0.25">
      <c r="B16" s="19" t="s">
        <v>115</v>
      </c>
      <c r="C16" s="40">
        <f>IF('Adoption Model'!D16&lt;='Adoption Model'!C16, "PASS", "FAIL")</f>
      </c>
      <c r="D16" s="40">
        <f>IF('Adoption Model'!E16&lt;='Adoption Model'!D16, "PASS", "FAIL")</f>
      </c>
      <c r="E16" s="40">
        <f>IF('Adoption Model'!F16&lt;='Adoption Model'!E16, "PASS", "FAIL")</f>
      </c>
      <c r="F16" s="40">
        <f>IF('Revenue and Margin'!J16&gt;0, "PASS", "ALERT: NEGATIVE CASH FLOW")</f>
      </c>
      <c r="G16" s="41">
        <f>IF(AND(C16="PASS", D16="PASS", E16="PASS"), "RECONCILED", "FAIL")</f>
      </c>
    </row>
    <row r="17" spans="2:7" x14ac:dyDescent="0.25">
      <c r="B17" s="19" t="s">
        <v>116</v>
      </c>
      <c r="C17" s="40">
        <f>IF('Adoption Model'!D17&lt;='Adoption Model'!C17, "PASS", "FAIL")</f>
      </c>
      <c r="D17" s="40">
        <f>IF('Adoption Model'!E17&lt;='Adoption Model'!D17, "PASS", "FAIL")</f>
      </c>
      <c r="E17" s="40">
        <f>IF('Adoption Model'!F17&lt;='Adoption Model'!E17, "PASS", "FAIL")</f>
      </c>
      <c r="F17" s="40">
        <f>IF('Revenue and Margin'!J17&gt;0, "PASS", "ALERT: NEGATIVE CASH FLOW")</f>
      </c>
      <c r="G17" s="41">
        <f>IF(AND(C17="PASS", D17="PASS", E17="PASS"), "RECONCILED", "FAIL")</f>
      </c>
    </row>
    <row r="19" spans="2:7" x14ac:dyDescent="0.25">
      <c r="B19" s="42" t="s">
        <v>216</v>
      </c>
      <c r="C19" s="42"/>
      <c r="D19" s="42"/>
      <c r="E19" s="42"/>
      <c r="F19" s="42"/>
      <c r="G19" s="42"/>
    </row>
    <row r="21" spans="2:7" x14ac:dyDescent="0.25">
      <c r="B21" s="9" t="s">
        <v>217</v>
      </c>
      <c r="C21" s="9"/>
      <c r="D21" s="9"/>
      <c r="E21" s="9"/>
      <c r="F21" s="9"/>
      <c r="G21" s="9"/>
    </row>
    <row r="22" spans="2:7" x14ac:dyDescent="0.25">
      <c r="B22" s="19" t="s">
        <v>218</v>
      </c>
      <c r="C22" s="19"/>
      <c r="D22" s="34" t="s">
        <v>219</v>
      </c>
      <c r="E22" s="33" t="s">
        <v>220</v>
      </c>
      <c r="F22" s="33"/>
      <c r="G22" s="33"/>
    </row>
    <row r="23" spans="2:7" x14ac:dyDescent="0.25">
      <c r="B23" s="19" t="s">
        <v>221</v>
      </c>
      <c r="C23" s="19"/>
      <c r="D23" s="34" t="s">
        <v>222</v>
      </c>
      <c r="E23" s="33" t="s">
        <v>223</v>
      </c>
      <c r="F23" s="33"/>
      <c r="G23" s="33"/>
    </row>
    <row r="24" spans="2:7" x14ac:dyDescent="0.25">
      <c r="B24" s="19" t="s">
        <v>224</v>
      </c>
      <c r="C24" s="19"/>
      <c r="D24" s="43" t="s">
        <v>225</v>
      </c>
      <c r="E24" s="33" t="s">
        <v>226</v>
      </c>
      <c r="F24" s="33"/>
      <c r="G24" s="33"/>
    </row>
    <row r="25" spans="2:7" x14ac:dyDescent="0.25">
      <c r="B25" s="19" t="s">
        <v>227</v>
      </c>
      <c r="C25" s="19"/>
      <c r="D25" s="44" t="s">
        <v>228</v>
      </c>
      <c r="E25" s="33" t="s">
        <v>229</v>
      </c>
      <c r="F25" s="33"/>
      <c r="G25" s="33"/>
    </row>
  </sheetData>
  <mergeCells count="12">
    <mergeCell ref="B2:G2"/>
    <mergeCell ref="B3:G3"/>
    <mergeCell ref="B19:G19"/>
    <mergeCell ref="B21:G21"/>
    <mergeCell ref="B22:C22"/>
    <mergeCell ref="E22:G22"/>
    <mergeCell ref="B23:C23"/>
    <mergeCell ref="E23:G23"/>
    <mergeCell ref="B24:C24"/>
    <mergeCell ref="E24:G24"/>
    <mergeCell ref="B25:C25"/>
    <mergeCell ref="E25:G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4748B"/>
  </sheetPr>
  <dimension ref="A2:G16"/>
  <sheetFormatPr defaultRowHeight="15" outlineLevelRow="0" outlineLevelCol="0" x14ac:dyDescent="55"/>
  <cols>
    <col min="1" max="1" width="4" customWidth="1"/>
    <col min="2" max="2" width="28" customWidth="1"/>
    <col min="3" max="3" width="24" customWidth="1"/>
    <col min="4" max="4" width="38" customWidth="1"/>
    <col min="5" max="5" width="14" customWidth="1"/>
    <col min="6" max="6" width="16" customWidth="1"/>
    <col min="7" max="7" width="40" customWidth="1"/>
  </cols>
  <sheetData>
    <row r="2" spans="2:7" x14ac:dyDescent="0.25">
      <c r="B2" s="6" t="s">
        <v>230</v>
      </c>
      <c r="C2" s="6"/>
      <c r="D2" s="6"/>
      <c r="E2" s="6"/>
      <c r="F2" s="6"/>
      <c r="G2" s="6"/>
    </row>
    <row r="4" spans="1:7" x14ac:dyDescent="0.25">
      <c r="A4" t="s">
        <v>42</v>
      </c>
      <c r="B4" s="8" t="s">
        <v>231</v>
      </c>
      <c r="C4" s="8" t="s">
        <v>232</v>
      </c>
      <c r="D4" s="8" t="s">
        <v>233</v>
      </c>
      <c r="E4" s="8" t="s">
        <v>8</v>
      </c>
      <c r="F4" s="8" t="s">
        <v>234</v>
      </c>
      <c r="G4" s="8" t="s">
        <v>235</v>
      </c>
    </row>
    <row r="5" spans="2:7" x14ac:dyDescent="0.25">
      <c r="B5" s="19" t="s">
        <v>236</v>
      </c>
      <c r="C5" s="45" t="s">
        <v>237</v>
      </c>
      <c r="D5" s="46" t="s">
        <v>238</v>
      </c>
      <c r="E5" s="45" t="s">
        <v>239</v>
      </c>
      <c r="F5" s="45" t="s">
        <v>240</v>
      </c>
      <c r="G5" s="45" t="s">
        <v>241</v>
      </c>
    </row>
    <row r="6" spans="2:7" x14ac:dyDescent="0.25">
      <c r="B6" s="19" t="s">
        <v>242</v>
      </c>
      <c r="C6" s="45" t="s">
        <v>243</v>
      </c>
      <c r="D6" s="46" t="s">
        <v>238</v>
      </c>
      <c r="E6" s="45" t="s">
        <v>239</v>
      </c>
      <c r="F6" s="45" t="s">
        <v>240</v>
      </c>
      <c r="G6" s="45" t="s">
        <v>244</v>
      </c>
    </row>
    <row r="7" spans="2:7" x14ac:dyDescent="0.25">
      <c r="B7" s="19" t="s">
        <v>245</v>
      </c>
      <c r="C7" s="45" t="s">
        <v>246</v>
      </c>
      <c r="D7" s="46" t="s">
        <v>247</v>
      </c>
      <c r="E7" s="45" t="s">
        <v>248</v>
      </c>
      <c r="F7" s="45" t="s">
        <v>240</v>
      </c>
      <c r="G7" s="45" t="s">
        <v>82</v>
      </c>
    </row>
    <row r="8" spans="2:7" x14ac:dyDescent="0.25">
      <c r="B8" s="19" t="s">
        <v>249</v>
      </c>
      <c r="C8" s="45" t="s">
        <v>250</v>
      </c>
      <c r="D8" s="46" t="s">
        <v>251</v>
      </c>
      <c r="E8" s="45" t="s">
        <v>49</v>
      </c>
      <c r="F8" s="45" t="s">
        <v>240</v>
      </c>
      <c r="G8" s="45" t="s">
        <v>252</v>
      </c>
    </row>
    <row r="9" spans="2:7" x14ac:dyDescent="0.25">
      <c r="B9" s="19" t="s">
        <v>253</v>
      </c>
      <c r="C9" s="45" t="s">
        <v>254</v>
      </c>
      <c r="D9" s="46" t="s">
        <v>255</v>
      </c>
      <c r="E9" s="45" t="s">
        <v>248</v>
      </c>
      <c r="F9" s="45" t="s">
        <v>240</v>
      </c>
      <c r="G9" s="45" t="s">
        <v>256</v>
      </c>
    </row>
    <row r="10" spans="2:7" x14ac:dyDescent="0.25">
      <c r="B10" s="19" t="s">
        <v>257</v>
      </c>
      <c r="C10" s="45" t="s">
        <v>258</v>
      </c>
      <c r="D10" s="46" t="s">
        <v>259</v>
      </c>
      <c r="E10" s="45" t="s">
        <v>49</v>
      </c>
      <c r="F10" s="45" t="s">
        <v>240</v>
      </c>
      <c r="G10" s="45" t="s">
        <v>260</v>
      </c>
    </row>
    <row r="11" spans="2:7" x14ac:dyDescent="0.25">
      <c r="B11" s="19" t="s">
        <v>261</v>
      </c>
      <c r="C11" s="45" t="s">
        <v>262</v>
      </c>
      <c r="D11" s="46" t="s">
        <v>263</v>
      </c>
      <c r="E11" s="45" t="s">
        <v>248</v>
      </c>
      <c r="F11" s="45" t="s">
        <v>240</v>
      </c>
      <c r="G11" s="45" t="s">
        <v>264</v>
      </c>
    </row>
    <row r="12" spans="2:7" x14ac:dyDescent="0.25">
      <c r="B12" s="19" t="s">
        <v>57</v>
      </c>
      <c r="C12" s="45" t="s">
        <v>265</v>
      </c>
      <c r="D12" s="46" t="s">
        <v>266</v>
      </c>
      <c r="E12" s="45" t="s">
        <v>52</v>
      </c>
      <c r="F12" s="45" t="s">
        <v>240</v>
      </c>
      <c r="G12" s="45" t="s">
        <v>267</v>
      </c>
    </row>
    <row r="13" spans="2:7" x14ac:dyDescent="0.25">
      <c r="B13" s="19" t="s">
        <v>268</v>
      </c>
      <c r="C13" s="45" t="s">
        <v>269</v>
      </c>
      <c r="D13" s="46" t="s">
        <v>270</v>
      </c>
      <c r="E13" s="45" t="s">
        <v>52</v>
      </c>
      <c r="F13" s="45" t="s">
        <v>240</v>
      </c>
      <c r="G13" s="45" t="s">
        <v>271</v>
      </c>
    </row>
    <row r="16" spans="2:7" x14ac:dyDescent="0.25">
      <c r="B16" s="47" t="s">
        <v>272</v>
      </c>
      <c r="C16" s="47"/>
      <c r="D16" s="47"/>
      <c r="E16" s="47"/>
      <c r="F16" s="47"/>
      <c r="G16" s="47"/>
    </row>
  </sheetData>
  <mergeCells count="2">
    <mergeCell ref="B2:G2"/>
    <mergeCell ref="B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Assumptions</vt:lpstr>
      <vt:lpstr>Adoption Model</vt:lpstr>
      <vt:lpstr>AI and Infrastructure Cost</vt:lpstr>
      <vt:lpstr>Revenue and Margin</vt:lpstr>
      <vt:lpstr>Scenarios</vt:lpstr>
      <vt:lpstr>Monthly Audit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Cheerio AI Product Intern Candidate</dc:creator>
  <dc:title/>
  <dc:subject/>
  <dc:description/>
  <cp:keywords/>
  <cp:category/>
  <cp:lastModifiedBy>Cheerio AI Product Intern Candidate</cp:lastModifiedBy>
  <dcterms:created xsi:type="dcterms:W3CDTF">2026-10-13T18:34:14Z</dcterms:created>
  <dcterms:modified xsi:type="dcterms:W3CDTF">2026-10-13T18:34:14Z</dcterms:modified>
</cp:coreProperties>
</file>